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3"/>
  <workbookPr autoCompressPictures="0"/>
  <mc:AlternateContent>
    <mc:Choice Requires="x15">
      <x15ac:absPath xmlns:x15ac="http://schemas.microsoft.com/office/spreadsheetml/2010/11/ac" url="/Users/adam/git/CIS/src/main/resources/org/worldskills/cis/service/skill/"/>
    </mc:Choice>
  </mc:AlternateContent>
  <xr:revisionPtr revIDLastSave="0" documentId="13_ncr:1_{9CE4662E-C534-7A48-8AC9-72D297A8977A}" xr6:coauthVersionLast="47" xr6:coauthVersionMax="47" xr10:uidLastSave="{00000000-0000-0000-0000-000000000000}"/>
  <bookViews>
    <workbookView xWindow="15580" yWindow="-26720" windowWidth="28040" windowHeight="17440" xr2:uid="{00000000-000D-0000-FFFF-FFFF00000000}"/>
  </bookViews>
  <sheets>
    <sheet name="CIS Marking Scheme Import" sheetId="1" r:id="rId1"/>
    <sheet name="Calculations" sheetId="6"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<sst xmlns="http://schemas.openxmlformats.org/spreadsheetml/2006/main" count="2784" uniqueCount="504">
  <si>
    <t>Mark</t>
  </si>
  <si>
    <t>Aspect - Description</t>
  </si>
  <si>
    <t>Judg Score</t>
  </si>
  <si>
    <t>Max
Mark</t>
  </si>
  <si>
    <t>Total
Mark</t>
  </si>
  <si>
    <t>Competition</t>
  </si>
  <si>
    <t>Aspect
Type
M = Meas
J = Judg</t>
  </si>
  <si>
    <t>Criterion A</t>
  </si>
  <si>
    <t>Extra Aspect Description (Meas or Judg)
OR
Judgement Score Description (Judg only)</t>
  </si>
  <si>
    <t>Requirement
(Measurement Only)</t>
  </si>
  <si>
    <t>Day of Marking</t>
  </si>
  <si>
    <t>Calculation Row 
(Export only)</t>
  </si>
  <si>
    <t>Section</t>
  </si>
  <si>
    <t>Name</t>
  </si>
  <si>
    <t>Aspect Marks</t>
  </si>
  <si>
    <t>Sub
Criterion
ID</t>
  </si>
  <si>
    <t>Sub Criterion
Name or Description</t>
  </si>
  <si>
    <t>Criteria</t>
  </si>
  <si>
    <t>Variation</t>
  </si>
  <si>
    <t>ID</t>
  </si>
  <si>
    <t>Total Variation</t>
  </si>
  <si>
    <t>WorldSkills Occupational Standards</t>
  </si>
  <si>
    <t>WSOS Marks</t>
  </si>
  <si>
    <t>WSOS Section</t>
  </si>
  <si>
    <t>17 Web Development</t>
  </si>
  <si>
    <t>Work organization and self-management</t>
  </si>
  <si>
    <t>Communication and interpersonal skills</t>
  </si>
  <si>
    <t>Design Implementation</t>
  </si>
  <si>
    <t>Front-End Development</t>
  </si>
  <si>
    <t>Back-End Development</t>
  </si>
  <si>
    <t>A</t>
  </si>
  <si>
    <t>Static Website Design</t>
  </si>
  <si>
    <t>B</t>
  </si>
  <si>
    <t>Dynamic website with server-side rendering</t>
  </si>
  <si>
    <t>C</t>
  </si>
  <si>
    <t>REST API</t>
  </si>
  <si>
    <t>D</t>
  </si>
  <si>
    <t>Interactive Frontend using an API</t>
  </si>
  <si>
    <t>E</t>
  </si>
  <si>
    <t>Advanced Web Development</t>
  </si>
  <si>
    <t>F</t>
  </si>
  <si>
    <t>Fun Module</t>
  </si>
  <si>
    <t>G</t>
  </si>
  <si>
    <t>H</t>
  </si>
  <si>
    <t>I</t>
  </si>
  <si>
    <t>J</t>
  </si>
  <si>
    <t>A1</t>
  </si>
  <si>
    <t>Common elements</t>
  </si>
  <si>
    <t/>
  </si>
  <si>
    <t>1</t>
  </si>
  <si>
    <t>Measurement</t>
  </si>
  <si>
    <t>PASS_FAIL</t>
  </si>
  <si>
    <t>M</t>
  </si>
  <si>
    <t>Navigation implemented and meeting requirements</t>
  </si>
  <si>
    <t>A navigation element is visible on all implemented pages and contains links to at least the three required pages (Home page, Investors page, Visitor Tours page)</t>
  </si>
  <si>
    <t>Footer implemented and meeting requirements</t>
  </si>
  <si>
    <t>A footer element is visible on all implemented pages and contains at least a copyright notice</t>
  </si>
  <si>
    <t>Navigation design</t>
  </si>
  <si>
    <t>Not implemented or is not styled</t>
  </si>
  <si>
    <t>Navigation has basic styling applied</t>
  </si>
  <si>
    <t>Design of the navigation is clean and at least shows the current page somehow and and some sort of hover effect on the links</t>
  </si>
  <si>
    <t>The highlighted current page and hover effects are matching well the rest of the navigation and look polished, and the whole navigation fells integrated well into the design of the rest of the website</t>
  </si>
  <si>
    <t>Responsiveness of navigation and footer</t>
  </si>
  <si>
    <t>The navigation and footer are not responsive at all</t>
  </si>
  <si>
    <t>At least one of the navigation or footer is responsive and the layout changes when switching between the defined viewports</t>
  </si>
  <si>
    <t>Both the navigation and footer look good on the defined viewports, but there is some horizontal scrolling, or not all content is readable well</t>
  </si>
  <si>
    <t>Both the navigation and footer are implemented cleanly on all defined viewports, there is no horizontal scrolling, all links are clickable, all text is readable, and the sizes of the elements are suitable for the target viewports</t>
  </si>
  <si>
    <t>A2</t>
  </si>
  <si>
    <t>Home page</t>
  </si>
  <si>
    <t>Home page is reachable on index.html</t>
  </si>
  <si>
    <t>Home page contains visualization video</t>
  </si>
  <si>
    <t>Home page contains brief project overview</t>
  </si>
  <si>
    <t>Home page contains at least 1 key fact</t>
  </si>
  <si>
    <t>Home page contains some partner/sponsor logos</t>
  </si>
  <si>
    <t>Home page contains a map with the location of the farm highlighted in any way</t>
  </si>
  <si>
    <t>Video automatically plays without interaction when opening the page</t>
  </si>
  <si>
    <t>Video loops when it ends</t>
  </si>
  <si>
    <t>Video controls are always hidden</t>
  </si>
  <si>
    <t>Video takes the full browser width</t>
  </si>
  <si>
    <t>Video keeps original aspect ratio on resizing</t>
  </si>
  <si>
    <t>Home page design</t>
  </si>
  <si>
    <t>Page has basic styling implemented</t>
  </si>
  <si>
    <t>Catches the users attention (shows the project well), but the design is not always polished or clear</t>
  </si>
  <si>
    <t>Has a clear and polished design, it is very clear to the user what the project is about</t>
  </si>
  <si>
    <t>A3</t>
  </si>
  <si>
    <t>Investors page</t>
  </si>
  <si>
    <t>Investors page offers the investment option: Fund one or more wind turbines</t>
  </si>
  <si>
    <t>Investors page offers the investment option: Become a presenting sponsor</t>
  </si>
  <si>
    <t>Investors page offers the investment option: Support the project with a variable amount of money</t>
  </si>
  <si>
    <t>Investment form contains contact data fields</t>
  </si>
  <si>
    <t>Contains at least fields for a name, email, address, and phone number</t>
  </si>
  <si>
    <t>Investment form shows specific fields for fund one or more wind turbines option</t>
  </si>
  <si>
    <t>Short text input, file upload field</t>
  </si>
  <si>
    <t>Investment form shows specific fields for become a presenting sponsor option</t>
  </si>
  <si>
    <t>File upload field</t>
  </si>
  <si>
    <t>Investment form shows specific fields for support the project with a variable amount of money option</t>
  </si>
  <si>
    <t>Amount input field</t>
  </si>
  <si>
    <t>Investors page design</t>
  </si>
  <si>
    <t>Shows the required information in a well structured and clean way, but the design is not always polished</t>
  </si>
  <si>
    <t>Has a clear and polished design, it is very clear to the user how investment is possible</t>
  </si>
  <si>
    <t>Form field types and validation</t>
  </si>
  <si>
    <t>Form is missing or all inputs are of type text and don't have validation</t>
  </si>
  <si>
    <t>Some form fields have validation or are of a different type than text</t>
  </si>
  <si>
    <t>Most form fields have a suitable type and validation, but not all of them</t>
  </si>
  <si>
    <t>All form fields are of a suitable type and the validation is set where needed and matches the requirements</t>
  </si>
  <si>
    <t>A4</t>
  </si>
  <si>
    <t>Visitor tours page</t>
  </si>
  <si>
    <t>Visitor tours page contains required information</t>
  </si>
  <si>
    <t>List of planned tours with date &amp; time</t>
  </si>
  <si>
    <t>Map explaining the locations</t>
  </si>
  <si>
    <t>A map is visible on the page that shows where the farm will be located and where the tour's meeting point is</t>
  </si>
  <si>
    <t>Visitor tours page design</t>
  </si>
  <si>
    <t>Has a clear and polished design, it is very clear to the user what tours are offered and how to book them</t>
  </si>
  <si>
    <t>A5</t>
  </si>
  <si>
    <t>Standards</t>
  </si>
  <si>
    <t>CHOICE</t>
  </si>
  <si>
    <t>DEDUCTION_TYPE:::#x~x#PERCENT#-#CHOICE3_LABEL:::#x~x#The axe browser extension reports max 3 violations per implemented page#-#CHOICE4_DEDUCTION:::100.00000000#x~x##-#CHOICE4_LABEL:::#x~x#The axe browser extension reports more than 3 violations on at least one implemented page#-#CHOICE2_DEDUCTION:::33.30000000#x~x##-#CHOICE2_LABEL:::#x~x#The axe browser extension reports max 2 violations per implemented page#-#CHOICE1_DEDUCTION:::0E-8#x~x##-#CHOICE1_LABEL:::#x~x#The axe browser extension reports no violations on all implemented pages#-#CHOICE3_DEDUCTION:::66.60000000#x~x#</t>
  </si>
  <si>
    <t>Accessibility standards</t>
  </si>
  <si>
    <t>DEDUCTION_TYPE:::#x~x#PERCENT#-#CHOICE3_LABEL:::#x~x#The W3C validator reports max 3 HTML errors per implemented page#-#CHOICE4_DEDUCTION:::100.00000000#x~x##-#CHOICE4_LABEL:::#x~x#The W3C validator reports more than 3 HTML errors on at least one implemented page#-#CHOICE2_DEDUCTION:::33.30000000#x~x##-#CHOICE2_LABEL:::#x~x#The W3C validator reports max 2 HTML errors per implemented page#-#CHOICE1_DEDUCTION:::0E-8#x~x##-#CHOICE1_LABEL:::#x~x#The W3C validator reports no HTML errors on all implemented pages#-#CHOICE3_DEDUCTION:::66.60000000#x~x#</t>
  </si>
  <si>
    <t>W3C HTML validations</t>
  </si>
  <si>
    <t>DEDUCTION_TYPE:::#x~x#PERCENT#-#CHOICE3_LABEL:::#x~x#The W3C validator reports max 3 CSS errors per implemented page#-#CHOICE4_DEDUCTION:::100.00000000#x~x##-#CHOICE4_LABEL:::#x~x#The W3C validator reports more than 3 CSS errors on at least one implemented page#-#CHOICE2_DEDUCTION:::33.30000000#x~x##-#CHOICE2_LABEL:::#x~x#The W3C validator reports max 2 CSS errors per implemented page#-#CHOICE1_DEDUCTION:::0E-8#x~x##-#CHOICE1_LABEL:::#x~x#The W3C validator reports no CSS errors on all implemented pages#-#CHOICE3_DEDUCTION:::66.60000000#x~x#</t>
  </si>
  <si>
    <t>W3C CSS validations</t>
  </si>
  <si>
    <t>No server-side or client-side framework is used</t>
  </si>
  <si>
    <t>SEO</t>
  </si>
  <si>
    <t>No SEO best practices implemented</t>
  </si>
  <si>
    <t>Correct usage of heading tags (one h1, correct hierarchy) and some semantic tags (&lt;header&gt;, &lt;nav&gt;, &lt;main&gt;, &lt;footer&gt;, &lt;article&gt; etc instead of just divs) on some pages</t>
  </si>
  <si>
    <t>Compelling title tag and meta tags for some pages</t>
  </si>
  <si>
    <t>Compelling title tag and meta tags for all pages, always used heading tags correctly, and always used semantic tags where appropriate on all pages</t>
  </si>
  <si>
    <t>Criterion B</t>
  </si>
  <si>
    <t>B1</t>
  </si>
  <si>
    <t>Organization, Design, Email Templates</t>
  </si>
  <si>
    <t>Each required page renders initial content from the server</t>
  </si>
  <si>
    <t>For each page: Investors, Tours, Sponsors, Admin-Investor, Admin-Tours. View HTML source, if data is present directly in the HTML, award the point.</t>
  </si>
  <si>
    <t>Consistent look</t>
  </si>
  <si>
    <t>Colours, fonts, and logo placements match across all pages (static &amp; dynamic)</t>
  </si>
  <si>
    <t>Easy navigation</t>
  </si>
  <si>
    <t>Clear links in main nav bar (both user and admin)</t>
  </si>
  <si>
    <t>Fast navigation</t>
  </si>
  <si>
    <t>Pages are reachable from User Home or Admin Home within 2 clicks</t>
  </si>
  <si>
    <t>Logos</t>
  </si>
  <si>
    <t>Logos created for sponsors / investors are identifable as company logo</t>
  </si>
  <si>
    <t>Investment request, approval and rejection emails use given subject and body with new lines preserved</t>
  </si>
  <si>
    <t>New lines are preserved</t>
  </si>
  <si>
    <t>Investment request, approval and rejection emails use given subject and body with variables replaced</t>
  </si>
  <si>
    <t>Variables are replaced</t>
  </si>
  <si>
    <t>Investment request, approval and rejection emails use given subject and body but not containing not applicable details</t>
  </si>
  <si>
    <t>Not applicable details left out (according to email template)</t>
  </si>
  <si>
    <t>Tour booking and admin-triggered cancellation emails use given subject and body with new lines preserved</t>
  </si>
  <si>
    <t>New lines are preserved.</t>
  </si>
  <si>
    <t>Tour booking and admin-triggered cancellation emails use given subject and body with variables replaced</t>
  </si>
  <si>
    <t>Tour booking and admin-triggered cancellation emails use given subject and body with Dates and times presented human readable</t>
  </si>
  <si>
    <t>Dates and times are presented human readable</t>
  </si>
  <si>
    <t>Sponsors page design</t>
  </si>
  <si>
    <t>Has a clear and polished design, it is very clear to the user which are the presenting sponsors, and which are placeholders.</t>
  </si>
  <si>
    <t>Investor admin page design</t>
  </si>
  <si>
    <t>Has a clear and polished design, it is very clear to the user how to approve / reject requests.</t>
  </si>
  <si>
    <t>Tour admin page design</t>
  </si>
  <si>
    <t>Has a clear and polished design, it is very clear to the user how create tours, cancel bookings (and that this triggers an email) and delete tours.</t>
  </si>
  <si>
    <t>B2</t>
  </si>
  <si>
    <t>Security &amp; Authentication</t>
  </si>
  <si>
    <t>User receives email link and can log in via that link</t>
  </si>
  <si>
    <t>Submitting login form creates email with login link</t>
  </si>
  <si>
    <t>Each form/action has valid CSRF protection: Login form</t>
  </si>
  <si>
    <t>Test by removing hidden XSRF form field and verify the form posting is rejected.</t>
  </si>
  <si>
    <t>Each form/action has valid CSRF protection: Investment request form</t>
  </si>
  <si>
    <t>Each form/action has valid CSRF protection: Tour booking form</t>
  </si>
  <si>
    <t>User input properly escaped: No XSS vulnerabilities via form input</t>
  </si>
  <si>
    <t>Investor text for funding a turbine: Once investment request is approved by admin, the text shown publicly is properly escaped.</t>
  </si>
  <si>
    <t>SQL injection prevention</t>
  </si>
  <si>
    <t>Uses ORM or parameterised queries.</t>
  </si>
  <si>
    <t>B3</t>
  </si>
  <si>
    <t>Architecture &amp; Infrastructure</t>
  </si>
  <si>
    <t>DEDUCTION_TYPE:::#x~x#PERCENT#-#CHOICE3_LABEL:::#x~x#File exists and is valid, creates tables, but not all data.#-#CHOICE4_DEDUCTION:::0E-8#x~x##-#CHOICE4_LABEL:::#x~x#All structure and data is created as per spec, incl. image blobs#-#CHOICE2_DEDUCTION:::66.60000000#x~x##-#CHOICE2_LABEL:::#x~x#File exists and is valid, but does not create all tables.#-#CHOICE1_DEDUCTION:::100.00000000#x~x##-#CHOICE1_LABEL:::#x~x#File is missing or is invalid#-#CHOICE3_DEDUCTION:::33.30000000#x~x#</t>
  </si>
  <si>
    <t>Database seed completeness. Running the seed.sql script creates the structure and required data as specified</t>
  </si>
  <si>
    <t>Clean and consistent URL routing</t>
  </si>
  <si>
    <t>Missing or broken</t>
  </si>
  <si>
    <t>Basic implementation</t>
  </si>
  <si>
    <t>Clean and consistent with small issues</t>
  </si>
  <si>
    <t>Robust and complete</t>
  </si>
  <si>
    <t>Code modularity and separation of concerns</t>
  </si>
  <si>
    <t>Modularity or separation of concerns completely absent</t>
  </si>
  <si>
    <t>Minor modularity and separation concern implement but severe mix of concerns.</t>
  </si>
  <si>
    <t>Modularity is clear when reading the code, and code is mostly separating concerns with minor issues.</t>
  </si>
  <si>
    <t>Clear modules and consistent separation of concerns (database, render / model, logic)</t>
  </si>
  <si>
    <t>Error handling for invalid forms and routes</t>
  </si>
  <si>
    <t>No error handling apart from showing a server error</t>
  </si>
  <si>
    <t>Errors are specifically handled but human friendly presentation of the error is absent.</t>
  </si>
  <si>
    <t>Errors are handled but not specific about what went wrong (to a degree that is relevant to the user, not showing the stacktrace)</t>
  </si>
  <si>
    <t>Errors are handled, presented in a human friendly way.</t>
  </si>
  <si>
    <t>B4</t>
  </si>
  <si>
    <t>Functionality — Public Site</t>
  </si>
  <si>
    <t>Sponsors page shows approved presenting sponsors</t>
  </si>
  <si>
    <t>Sponsors page shows the approved sponsors after their request was approved by an admin.</t>
  </si>
  <si>
    <t>Investment page shows turbines with spots</t>
  </si>
  <si>
    <t>At least 10 turbines shown and each has 10 spots</t>
  </si>
  <si>
    <t>Investment page shows spot status</t>
  </si>
  <si>
    <t>Spot status is one of available, pending or funded (with text or logo)</t>
  </si>
  <si>
    <t>Investment page shows total support amount</t>
  </si>
  <si>
    <t>The total support amount is shown and is the sum of all three types of funding.</t>
  </si>
  <si>
    <t>Tours page shows dates and available seats</t>
  </si>
  <si>
    <t>At least 5 tours shown with dates and available seats.</t>
  </si>
  <si>
    <t>Tours page shows active booking</t>
  </si>
  <si>
    <t>After booking and being logged in, an active booking is shown</t>
  </si>
  <si>
    <t>Tours page provides function to cancel active booking</t>
  </si>
  <si>
    <t>Clicking the cancellation of an active booking cancels the booking: trigger email and free seats</t>
  </si>
  <si>
    <t>Mock emails: /mock-emails accessible and not requiring login</t>
  </si>
  <si>
    <t>Can be viewed at /mock-emails without login</t>
  </si>
  <si>
    <t>Mock emails: /mock-emails shows email details</t>
  </si>
  <si>
    <t>Shows recipient, subject, body and sent timestamp</t>
  </si>
  <si>
    <t>Mock emails: /mock-emails shows emails sorted by timestamp</t>
  </si>
  <si>
    <t>Emails are sorted by timestamp</t>
  </si>
  <si>
    <t>Mock emails: /mock-emails shows email body with preserved new lines</t>
  </si>
  <si>
    <t>Body rendering preserves new lines</t>
  </si>
  <si>
    <t>Mock emails: /mock-emails shows email body links are clickable</t>
  </si>
  <si>
    <t>Links are clickable</t>
  </si>
  <si>
    <t>B5</t>
  </si>
  <si>
    <t>Functionality — Admin Interface</t>
  </si>
  <si>
    <t>Access to /admin/* is only possible when logged in as a user with the admin role</t>
  </si>
  <si>
    <t>Navigating to the admin section either shows an error that the user is not logged in or not an admin, or redirects away from the admin section.</t>
  </si>
  <si>
    <t>Investment requests: show with status</t>
  </si>
  <si>
    <t>Requests are shown with the correct status</t>
  </si>
  <si>
    <t>Investment requests: can be rejected</t>
  </si>
  <si>
    <t>Requests can be rejected -&gt; triggers email</t>
  </si>
  <si>
    <t>Investment requests: can be approved</t>
  </si>
  <si>
    <t>Requests can be approved -&gt; triggers email</t>
  </si>
  <si>
    <t>Tour bookings: Shows tours with bookins</t>
  </si>
  <si>
    <t>Existing tours are listed with bookings (can be in sub-page)</t>
  </si>
  <si>
    <t>Tour bookings: Create tour</t>
  </si>
  <si>
    <t>Tours can be created</t>
  </si>
  <si>
    <t>Tour bookings: Cancel bookings</t>
  </si>
  <si>
    <t>Individual bookings can be cancelled -&gt; triggers email and frees seats</t>
  </si>
  <si>
    <t>Tour bookings: Delete tours</t>
  </si>
  <si>
    <t>Tours can be deleted, but only if no non-cancelled bookings exist for this tour</t>
  </si>
  <si>
    <t>Criterion C</t>
  </si>
  <si>
    <t>C1</t>
  </si>
  <si>
    <t>Organization</t>
  </si>
  <si>
    <t>2</t>
  </si>
  <si>
    <t>Database seed completeness: Running the seed.sql script creates the structure and required users as specified with hashed password</t>
  </si>
  <si>
    <t>API was implemented to follow spec: Base path</t>
  </si>
  <si>
    <t>Correct base path</t>
  </si>
  <si>
    <t>API was implemented to follow spec: path extension</t>
  </si>
  <si>
    <t>No trailing extensions like ".php" or "/index.php" or required trailing "/"</t>
  </si>
  <si>
    <t>API was implemented to follow spec: content type</t>
  </si>
  <si>
    <t>Response content type is always "application/json" or "application/problem+json" for errors</t>
  </si>
  <si>
    <t>C2</t>
  </si>
  <si>
    <t>Authentication &amp; Access Control</t>
  </si>
  <si>
    <t>POST /auth/login with {"username":"alice","password":"alice12345"}</t>
  </si>
  <si>
    <t>Assert: 200; JSON has token (≥32 chars, random-looking) and "role":"admin"</t>
  </si>
  <si>
    <t>Login fails (bad password)</t>
  </si>
  <si>
    <t>Assert: 401 and application/problem+json body type ends /unauthorized</t>
  </si>
  <si>
    <t>Token required on protected route: 
Test: GET /alerts with no Authorization header</t>
  </si>
  <si>
    <t>Assert: 401</t>
  </si>
  <si>
    <t>Operator access allowed: 
Test: log in as bob, then GET /alerts with Bearer &lt;token&gt;</t>
  </si>
  <si>
    <t>Assert: 200</t>
  </si>
  <si>
    <t>Operator access denied (role escalation): 
Test: bob token on POST /auth/assign-role</t>
  </si>
  <si>
    <t>Assert: 403</t>
  </si>
  <si>
    <t>Admin assigns role: 
Test: alice token, POST /auth/assign-role {"username":"user","role":"operator"}</t>
  </si>
  <si>
    <t>Assert: 204 and login as user returns operator role</t>
  </si>
  <si>
    <t>Admin cannot drop own admin: 
Test: alice token tries to set role=operator for alice</t>
  </si>
  <si>
    <t>Assert: 409</t>
  </si>
  <si>
    <t>C3</t>
  </si>
  <si>
    <t>Turbine Data &amp; Freshness</t>
  </si>
  <si>
    <t>List turbines public: 
Test: GET /turbines</t>
  </si>
  <si>
    <t>Assert: 200; array items include id,name,location,status</t>
  </si>
  <si>
    <t>Live status:
Test: Upstream healthy; GET /turbines/1/status</t>
  </si>
  <si>
    <t>Assert: freshness:"live" at root and for every property</t>
  </si>
  <si>
    <t>Cached fallback:
Test: Simulate upstream timeout; GET /turbines/1/status</t>
  </si>
  <si>
    <t>Assert: freshness:"cached"; values unchanged from previous live call</t>
  </si>
  <si>
    <t>Missing property handling:
Test: Upstream returns temperature:null; GET /turbines/1/status</t>
  </si>
  <si>
    <t>Assert: temperature.freshness:"missing" and value:null</t>
  </si>
  <si>
    <t>Unknown turbine:
Test: GET /turbines/999/status</t>
  </si>
  <si>
    <t>Assert: 404</t>
  </si>
  <si>
    <t>C4</t>
  </si>
  <si>
    <t>Control &amp; Action Log</t>
  </si>
  <si>
    <t>Valid pitch/yaw:
Test: bob token, POST /turbines/1/control {"pitch":10,"yaw":180}</t>
  </si>
  <si>
    <t>Assert: 200 {status:"success"}; /turbines/1/actions newest item type:"control" with given values</t>
  </si>
  <si>
    <t>Range validation:
Test: pitch = -120</t>
  </si>
  <si>
    <t>Assert: 400 Problem+JSON with field error for pitch</t>
  </si>
  <si>
    <t>Valid state transition:
Test: shutdown then start sequence using correct endpoints</t>
  </si>
  <si>
    <t>Assert: each returns 200; turbine status updates accordingly</t>
  </si>
  <si>
    <t>Invalid transition:
Test: POST /turbines/1/maintenance while status = started</t>
  </si>
  <si>
    <t>C5</t>
  </si>
  <si>
    <t>Alerts Lifecycle</t>
  </si>
  <si>
    <t>High-RPM alert fires:
Test: mock rpm = 70; fetch status</t>
  </si>
  <si>
    <t>Assert: /alerts contains alert type:"HighRPM", status:"firing"</t>
  </si>
  <si>
    <t>Alert deduplication:
Test: repeat fetch while rpm still mocked to be 70</t>
  </si>
  <si>
    <t>Assert: still one HighRPM alert record (no duplicates)</t>
  </si>
  <si>
    <t>Alert resolves:
Test: rpm above 70, fetch status, rpm drops to 50; fetch status</t>
  </si>
  <si>
    <t>Assert: alert for HighRPM with status:"resolved"</t>
  </si>
  <si>
    <t>Acknowledge:
Test: POST /alerts/{id}/ack as bob</t>
  </si>
  <si>
    <t>Assert: 200 {status:"acknowledged"}; alert field acknowledged:"acknowledged"</t>
  </si>
  <si>
    <t>C6</t>
  </si>
  <si>
    <t>Log Retrieval &amp; Search</t>
  </si>
  <si>
    <t>Initial fetch &amp; parse:
Test: alice token, GET /turbines/1/logs</t>
  </si>
  <si>
    <t>Assert: 200; JSON entries ≤ 1000, sorted oldest→newest, each entry has level,timestamp,message</t>
  </si>
  <si>
    <t>No duplicates on second fetch:
Test: GET /turbines/1/logs repeatedly</t>
  </si>
  <si>
    <t>Assert: entry count unchanged; first entry timestamps identical</t>
  </si>
  <si>
    <t>Level filter:
Test: GET /turbines/1/logs?levels=error,warning</t>
  </si>
  <si>
    <t>Assert: every entry level ∈ {error,warning}</t>
  </si>
  <si>
    <t>Message substring filter
Test: GET /turbines/1/logs?message=wind</t>
  </si>
  <si>
    <t>Assert: every message contains “wind” (case-insensitive)</t>
  </si>
  <si>
    <t>Upstream failure fallback:
Test: simulate 500 from external logs; request logs</t>
  </si>
  <si>
    <t>Assert: 200 with cached entries</t>
  </si>
  <si>
    <t>Criterion D</t>
  </si>
  <si>
    <t>D1</t>
  </si>
  <si>
    <t>Authentication</t>
  </si>
  <si>
    <t>Login button is present on all implemented pages for unauthenticated users</t>
  </si>
  <si>
    <t>Logout button is present on all implemented pages for authenticated users</t>
  </si>
  <si>
    <t>A login form is shown when clicking on the login button, providing a username and password input</t>
  </si>
  <si>
    <t>Authentication with the provided usernames &amp; passwords is possible</t>
  </si>
  <si>
    <t>Unauthenticated users are shown a login form when accessing pages requiring authentication</t>
  </si>
  <si>
    <t>Pages requiring authentication are: Alerts, Logs
It is enough if at least one of those pages matches the criteria. If none of those pages are implemented, it counts as not attempted.</t>
  </si>
  <si>
    <t>Unauthenticated users do not see the turbine control actions (modify yaw/pitch/state in the detail pane), but authenticated users have it</t>
  </si>
  <si>
    <t>Unauthenticated users do not see links to the alerts page, but authenticated users have it</t>
  </si>
  <si>
    <t>Unauthenticated users do not see links to the logs page (accessed from turbine detail page), but authenticated users have it</t>
  </si>
  <si>
    <t>Error for unauthorized users</t>
  </si>
  <si>
    <t>If a user without the operator role or admin role (so a user without a role) is accessing the alerts or logs page, they get an error and not the login form or the actual page.
It is enough if at least one of those pages show that behaviour. If none of those pages are implemented, it counts as not attempted.</t>
  </si>
  <si>
    <t>Page refresh keeps login state</t>
  </si>
  <si>
    <t>After logging in and reloading the page, the login status is preserved (meaning there is no login button visible but the logout button is visible)</t>
  </si>
  <si>
    <t>D2</t>
  </si>
  <si>
    <t>Turbine Map Page</t>
  </si>
  <si>
    <t>All turbine icons are fully visible</t>
  </si>
  <si>
    <t>The number of icons is the same as the number the API returns and no icon is cut off</t>
  </si>
  <si>
    <t>All turbine icons rendered in the correct location</t>
  </si>
  <si>
    <t>Hint: Check a reference implementation and compare if they are displayed in the same form (because everyone has to use the provided API, everyone will have the same turbine coordinates)</t>
  </si>
  <si>
    <t>Icon has the correct color</t>
  </si>
  <si>
    <t>Turbines that are in state started are green, state maintenance are orange, and state shutdown are gray</t>
  </si>
  <si>
    <t>Icon color updates when data refreshes</t>
  </si>
  <si>
    <t>When the detail pane of a turbine is open and the data refreshed and the status of the turbine changed, the icon color on the map also reflects the new status. If the detail pane or automatic data refresh is not implemented, it counts as not attempted.</t>
  </si>
  <si>
    <t>Turbine Map Page design</t>
  </si>
  <si>
    <t>The page is not implemented or does not have any styling</t>
  </si>
  <si>
    <t>Some basic styling has been applied, but the page overall doesn't feel clean or many elements are not integrated well and not matching the rest of the page</t>
  </si>
  <si>
    <t>The page in general shows a good design and most elements feel integrated well and matching together. Some spacing could be improved.</t>
  </si>
  <si>
    <t>The whole turbine map page (including map and detail pane) has a clean design, and everything feels well integrated and matching together. Use of spacing and colors contribute to a polished and professional appearance.</t>
  </si>
  <si>
    <t>D3</t>
  </si>
  <si>
    <t>Turbine Detail Pane</t>
  </si>
  <si>
    <t>Can be opened by clicking on a turbine, map is still visible on the left</t>
  </si>
  <si>
    <t>Turbine name is displayed</t>
  </si>
  <si>
    <t>Turbine status (started/maintenance/shutdown) is displayed</t>
  </si>
  <si>
    <t>Turbine coordinates (latitude &amp; longitude) are displayed</t>
  </si>
  <si>
    <t>Turbine yaw &amp; pitch values are displayed</t>
  </si>
  <si>
    <t>Rotations per minute of the turbine is displayed</t>
  </si>
  <si>
    <t>Power output of the turbine in megawatts is displayed</t>
  </si>
  <si>
    <t>Turbine temperature in °C is displayed</t>
  </si>
  <si>
    <t>Freshness status of turbine is shown</t>
  </si>
  <si>
    <t>Status (live/cached/missing) of the whole turbine and last update is shown</t>
  </si>
  <si>
    <t>Number Completed 6</t>
  </si>
  <si>
    <t>NUMBER_COMPLETED</t>
  </si>
  <si>
    <t>NUM_POSSIBLE:::6.00000000#x~x#</t>
  </si>
  <si>
    <t>Freshness status for each field is shown</t>
  </si>
  <si>
    <t>Status (live/cached/missing) of a turbine attribute and its last update is shown next to it. It can also be hidden in a popover. Count for how many of the attributes it is visible:
- Status
- Yaw
- Pitch
- RPM
- Power output
- Temperature</t>
  </si>
  <si>
    <t>Data is automatically refreshed in a 5s interval</t>
  </si>
  <si>
    <t>The detail pane gets updated after the refresh and newest information is displayed automatically</t>
  </si>
  <si>
    <t>There is a power output graph rendered in any way</t>
  </si>
  <si>
    <t>A new data point is added to the power output graph with each data refresh (every 5s)</t>
  </si>
  <si>
    <t>The x-axis of the power output graph represents time, and z-axis is the power output, meaning a new data point always gets added to the right of the last one (axis don't have to be rendered and don't need labels)</t>
  </si>
  <si>
    <t>Turbine information is presented in a clear way</t>
  </si>
  <si>
    <t>Not implemented or no styling applied</t>
  </si>
  <si>
    <t>There is some basic styling applied, but it's difficult to distinguish the different information types (e.g. labels and values) or users feel overwhelmed with unstructured information</t>
  </si>
  <si>
    <t>Information is mostly presented in a clear way and there is an attempt to make different information types (e.g. labels and values) distinguishable</t>
  </si>
  <si>
    <t>All information is presented in a clear way, user is not overwhelmed with too much information, labels and numbers are clearly distinguishable, and the freshness status is incorporated in a clean way</t>
  </si>
  <si>
    <t>D4</t>
  </si>
  <si>
    <t>3D Turbine Model</t>
  </si>
  <si>
    <t>A 3D model of a turbine is rendered in the detail pane</t>
  </si>
  <si>
    <t>The correct yaw, pitch, and RPM are used</t>
  </si>
  <si>
    <t>Turbines with different yaw and pitch look different, and the higher the RPM the faster it is animated</t>
  </si>
  <si>
    <t>Yaw, pitch, and RPM values are updated when data is refreshed</t>
  </si>
  <si>
    <t>When data is refreshed (5s interval), yaw, pitch, and RPM values are updated. If data refresh is not implemented, it counts as not attempted.</t>
  </si>
  <si>
    <t>Script is only loaded once</t>
  </si>
  <si>
    <t>The script is only loaded when opening a turbine detail. When opening multiple different turbines, the script is still only loaded once. The turbine is shown for all turbine details that were opened.</t>
  </si>
  <si>
    <t>D5</t>
  </si>
  <si>
    <t>Turbine Control</t>
  </si>
  <si>
    <t>Yaw can be modified</t>
  </si>
  <si>
    <t>In the detail pane, the yaw value can be modified</t>
  </si>
  <si>
    <t>Pitch can be modified</t>
  </si>
  <si>
    <t>In the detail pane, the pitch value can be modified</t>
  </si>
  <si>
    <t>Turbine state can be changed</t>
  </si>
  <si>
    <t>In the detail pane, the turbine state (started/maintenance/shutdown) can be changed</t>
  </si>
  <si>
    <t>Yaw value is correctly validated</t>
  </si>
  <si>
    <t>allowed values 0 - 360</t>
  </si>
  <si>
    <t>Pitch value is correctly validated</t>
  </si>
  <si>
    <t>allowed values -90 - 90</t>
  </si>
  <si>
    <t>Status field is correctly validated</t>
  </si>
  <si>
    <t>allowed transitions are (only give the mark if all those transitions are possible and no other):
   - started -&gt; shutdown
   - shutdown -&gt; started
   - shutdown -&gt; maintenance
   - maintenance -&gt; shutdown</t>
  </si>
  <si>
    <t>All validation is implemented client-side, invalid values are not sent to the server</t>
  </si>
  <si>
    <t>D6</t>
  </si>
  <si>
    <t>Alerts Page</t>
  </si>
  <si>
    <t>The list of alerts contains a timestamp in the format dd.MM.yyyy HH:mm:ss for each alert</t>
  </si>
  <si>
    <t>The list of alerts contains the alert type for each alert</t>
  </si>
  <si>
    <t>The list of alerts contains the turbine name for each alert</t>
  </si>
  <si>
    <t>The list of alerts contains the firing state of each alert</t>
  </si>
  <si>
    <t>The list of alerts contains the acknowledged state for each alert</t>
  </si>
  <si>
    <t>Alerts can be acknowledged</t>
  </si>
  <si>
    <t>There is a button to acknowledge the alert which sends a request to the server, but only for unacknowledged alerts</t>
  </si>
  <si>
    <t>Acknowledge state is updated</t>
  </si>
  <si>
    <t>After acknowledging an alert, the state is updated in the list and the button is no longer visible</t>
  </si>
  <si>
    <t>D7</t>
  </si>
  <si>
    <t>Actions Page</t>
  </si>
  <si>
    <t>There is a list of actions with the required information</t>
  </si>
  <si>
    <t>Check that all required information is visible:
- Action type
- Pitch &amp; yaw values in case the action type is control
- Timestamp in the format dd.MM.yyyy HH:mm:ss
- User who performed the action</t>
  </si>
  <si>
    <t>The action page is specific per turbine</t>
  </si>
  <si>
    <t>Opening the action page of a turbine only shows actions of that single turbine. Opening the page for another turbine shows other actions of that other turbine.</t>
  </si>
  <si>
    <t>D8</t>
  </si>
  <si>
    <t>Logs Page</t>
  </si>
  <si>
    <t>There is a list of logs with the required information</t>
  </si>
  <si>
    <t>Check that all required information is visible:
- Timestamp in the format dd.MM.yyyy HH:mm:ss
- Log level
- Message</t>
  </si>
  <si>
    <t>Linebreaks in messages are preserved</t>
  </si>
  <si>
    <t>Logs can be searched</t>
  </si>
  <si>
    <t>A working search is implemented (only needs to support searching in the message field) which then only shows the logs matching the search term.</t>
  </si>
  <si>
    <t>Logs can be filtered by levels</t>
  </si>
  <si>
    <t>Logs can be filtered by one or more levels and only the selected levels are then displayed.</t>
  </si>
  <si>
    <t>D9</t>
  </si>
  <si>
    <t>General Requirements</t>
  </si>
  <si>
    <t>The turbine map shows the same turbine detail pane after reloading the page</t>
  </si>
  <si>
    <t>Open the turbine detail pane for a turbine and reload the page, check if the same detail pane is still open</t>
  </si>
  <si>
    <t>Detail page presents the same content as previously visible when reloading the page</t>
  </si>
  <si>
    <t>Alerts page or actions page or logs page (whichever is implemented, one is enough)</t>
  </si>
  <si>
    <t>No horizontal scrolling</t>
  </si>
  <si>
    <t>No page has horizontal scrolling when viewing with a width of 1280px, also not when having the turbine detail pane open</t>
  </si>
  <si>
    <t>Overall design (headers, common elements like links and buttons, list pages (alerts page, actions page, logs page)), exclude the turbine map page from assessing this point as it has a separate subcriteria</t>
  </si>
  <si>
    <t>No styling applied at all</t>
  </si>
  <si>
    <t>There is only basic styling implemented for the common elements or the list pages</t>
  </si>
  <si>
    <t>Most common elements have a good design, and navigation is clear, and list pages have mostly a clean design but some parts of them might feel cluttered or are not styled</t>
  </si>
  <si>
    <t>The common elements have a modern and professional design and clearly show navigation to different pages, and the list pages have a consistent clear design contributing to a polished and professional appearance.</t>
  </si>
  <si>
    <t>Criterion E</t>
  </si>
  <si>
    <t>E1</t>
  </si>
  <si>
    <t>Task 1 - Writing automated tests</t>
  </si>
  <si>
    <t>3</t>
  </si>
  <si>
    <t>Tests passing</t>
  </si>
  <si>
    <t> </t>
  </si>
  <si>
    <t>There is at least one test with an assertion and all tests are passing.</t>
  </si>
  <si>
    <t>RANGED_SCORE</t>
  </si>
  <si>
    <t>DEDUCTION_TYPE:::#x~x#PERCENT#-#RANGE1_LOWER:::0E-8#x~x##-#RANGE1_DEDUCTION:::100.00000000#x~x##-#RANGE1_UPPER:::20.00000000#x~x##-#TARGET_VALUE:::100.00000000#x~x##-#RANGE2_UPPER:::0E-8#x~x##-#RANGE3_DEDUCTION:::0E-8#x~x##-#RANGE2_LOWER:::20.00000000#x~x##-#RANGE2_DEDUCTION:::60.00000000#x~x##-#RANGE3_LOWER:::0E-8#x~x##-#RANGE3_UPPER:::0E-8#x~x#</t>
  </si>
  <si>
    <t>All files test coverage of lines or branches (lower value)</t>
  </si>
  <si>
    <t>Enter percentage (the lower percentage between lines vs branches)</t>
  </si>
  <si>
    <t>RANGE1_LOWER:::0E-8#x~x##-#DEDUCTION_TYPE:::#x~x#PERCENT#-#RANGE1_DEDUCTION:::0E-8#x~x##-#RANGE1_UPPER:::3.00000000#x~x##-#TARGET_VALUE:::0E-8#x~x##-#RANGE2_UPPER:::15.00000000#x~x##-#RANGE3_DEDUCTION:::#x~x##-#RANGE2_LOWER:::0E-8#x~x##-#RANGE2_DEDUCTION:::60.00000000#x~x##-#RANGE3_LOWER:::#x~x##-#RANGE3_UPPER:::#x~x#</t>
  </si>
  <si>
    <t>Number of survived test mutants of all files</t>
  </si>
  <si>
    <t>Pull Requests and Commits</t>
  </si>
  <si>
    <t>No Pull Requests created.</t>
  </si>
  <si>
    <t>PR titles, descriptions and commits are absent or non descriptive (i.e. just "test" or like that)</t>
  </si>
  <si>
    <t>PRs are well split, clean, commits and PRs contain clear and descriptive titles and descriptions with a few exceptions</t>
  </si>
  <si>
    <t>PRs are well split, clean, commits and PRs contain clear and descriptive titles and descriptions without exception</t>
  </si>
  <si>
    <t>Tests are easy to understand</t>
  </si>
  <si>
    <t>The unit tests lack clarity and are challenging to understand.</t>
  </si>
  <si>
    <t>The unit tests are somewhat understandable, but there are instances where the language or structure could be improved for better clarity.</t>
  </si>
  <si>
    <t>The unit tests are generally written in a way that is easy to understand.</t>
  </si>
  <si>
    <t>The unit tests are exceptionally well-written, logically grouped into files, and easy to understand.</t>
  </si>
  <si>
    <t>E2</t>
  </si>
  <si>
    <t>Task 2 - OWASP Top 10 Security Vulnerabilities</t>
  </si>
  <si>
    <t>Central Summary Issue Exists</t>
  </si>
  <si>
    <t>There is a main issue that summarizes the vulnerabilities and links to the individual issues.</t>
  </si>
  <si>
    <t>Number Completed 5</t>
  </si>
  <si>
    <t>NUM_POSSIBLE:::5.00000000#x~x#</t>
  </si>
  <si>
    <t>Each Issue Includes Required Details</t>
  </si>
  <si>
    <t>For each issue they create, they must include all 5 items:
- Simple description (junior-level).
- Exact code location.
- Why it’s a security problem.
- Correct OWASP Top 10 category.
- Minimal fix.
Expert’s job:
- Check each issue.
- Count how many of the 5 items are present.
After checking all issues, take the lowest number across all issues and enter that as the result.</t>
  </si>
  <si>
    <t>Number Completed 3</t>
  </si>
  <si>
    <t>NUM_POSSIBLE:::3.00000000#x~x#</t>
  </si>
  <si>
    <t>Broken Access Control Vulnerabilities found</t>
  </si>
  <si>
    <t>Number of [A01 Broken Access Control] vulnerabilities found (target: 3)</t>
  </si>
  <si>
    <t>Cryptographic Failure Vulnerabilities found</t>
  </si>
  <si>
    <t>Number of [A02 Cryptographic Failures] vulnerabilities found (target: 3)</t>
  </si>
  <si>
    <t>Injection Vulnerabilities found</t>
  </si>
  <si>
    <t>Number of [A03 Injection] vulnerabilities found (target: 3)</t>
  </si>
  <si>
    <t>Security Misconfiguration Vulnerabilities found</t>
  </si>
  <si>
    <t>Number of [A05 Security Misconfiguration] vulnerabilities found (target: 3)</t>
  </si>
  <si>
    <t>E3</t>
  </si>
  <si>
    <t>Task 3 - CSS Dark Mode Toggle</t>
  </si>
  <si>
    <t>If system theme is light, the light website theme is rendered (no JavaScript)</t>
  </si>
  <si>
    <t>Disable JavaScript in the browser to test this</t>
  </si>
  <si>
    <t>If system theme is dark, the dark website theme is rendered (no JavaScript)</t>
  </si>
  <si>
    <t>A toggle is implemented in the header which overwrites the system theme</t>
  </si>
  <si>
    <t>The manually chosen theme via the header toggle is stored and applied across page reloads and</t>
  </si>
  <si>
    <t>The background color of the dark theme is #121212</t>
  </si>
  <si>
    <t>Color contrast ratio of text is at least 7:1 in the dark mode for the navigation links in the header</t>
  </si>
  <si>
    <t>Can be checked either with axe extension, or in the chrome dev tools</t>
  </si>
  <si>
    <t>Color contrast ratio of text is at least 7:1 in the dark mode for the h1 element</t>
  </si>
  <si>
    <t>Color contrast ratio of text is at least 7:1 in the dark mode for the h2 element</t>
  </si>
  <si>
    <t>Color contrast ratio of text is at least 7:1 in the dark mode for the article text</t>
  </si>
  <si>
    <t>Color contrast ratio of text is at least 7:1 in the dark mode for the footer</t>
  </si>
  <si>
    <t>All images use the dark variant in the dark theme, and light variant in the light theme (no JavaScript)</t>
  </si>
  <si>
    <t>Disable JavaScript in the browser to test this. For the logo, the text part of the logo should be white instead of black, for the illustration image, the arrows should be white instead of black</t>
  </si>
  <si>
    <t>All colors in the CSS file(s) are referenced with CSS variables</t>
  </si>
  <si>
    <t>No CSS preprocessor/framework used and no JS framework used</t>
  </si>
  <si>
    <t>The issue tracker has been handled well by the competitor</t>
  </si>
  <si>
    <t>No issue created in the issue tracker</t>
  </si>
  <si>
    <t>An issue has been created but it is rather short or has not been updated often along the implementation path</t>
  </si>
  <si>
    <t>An issue and at least one pull request have been created, and the issue description is good and clear, but some requirements are missing or the status has not always been updated</t>
  </si>
  <si>
    <t>The title and description of the issue are clear and correct and all requirements are listed, the implementation status has been kept up-to-date (e.g. with comments or labels) in the issue, pull request(s) have been created, and the issue and pull request(s) have been linked in both directions</t>
  </si>
  <si>
    <t>Criterion F</t>
  </si>
  <si>
    <t>F1</t>
  </si>
  <si>
    <t>Productive teamwork</t>
  </si>
  <si>
    <t>The work was split among the group members</t>
  </si>
  <si>
    <t>F2</t>
  </si>
  <si>
    <t>Presentation</t>
  </si>
  <si>
    <t>Presentation contains the required sections</t>
  </si>
  <si>
    <t>The presentation contains a hook, a middle part, a demonstration and a close.</t>
  </si>
  <si>
    <t>F3</t>
  </si>
  <si>
    <t>Implementation</t>
  </si>
  <si>
    <t>Idea is implemented in some way</t>
  </si>
  <si>
    <t>The competitors built a somewhat working prototype</t>
  </si>
  <si>
    <t>Criterion G</t>
  </si>
  <si>
    <t>Criterion H</t>
  </si>
  <si>
    <t>Criterion I</t>
  </si>
  <si>
    <t>Criterion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</si>
</sst>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name val="Arial"/>
      <sz val="10.0"/>
    </font>
  </fonts>
  <fills count="7">
    <fill>
      <patternFill patternType="none"/>
    </fill>
    <fill>
      <patternFill patternType="gray125"/>
    </fill>
    <fill>
      <patternFill patternType="solid">
        <fgColor indexed="55"/>
        <bgColor indexed="64"/>
      </patternFill>
    </fill>
    <fill>
      <patternFill patternType="solid">
        <fgColor rgb="FF969696"/>
        <bgColor rgb="FF000000"/>
      </patternFill>
    </fill>
    <fill>
      <patternFill/>
    </fill>
    <fill>
      <patternFill>
        <fgColor indexed="64"/>
      </patternFill>
    </fill>
    <fill>
      <patternFill>
        <fgColor indexed="64"/>
        <bgColor indexed="64"/>
      </patternFill>
    </fill>
  </fills>
  <borders count="29">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right style="medium"/>
    </border>
    <border>
      <right style="medium">
        <color indexed="8"/>
      </right>
    </border>
    <border>
      <left style="medium"/>
      <right style="medium"/>
    </border>
    <border>
      <left style="medium"/>
      <right style="medium">
        <color indexed="8"/>
      </right>
    </border>
    <border>
      <right style="medium">
        <color indexed="8"/>
      </right>
      <bottom style="medium"/>
    </border>
    <border>
      <right style="medium">
        <color indexed="8"/>
      </right>
      <bottom style="medium">
        <color indexed="8"/>
      </bottom>
    </border>
    <border>
      <left style="medium">
        <color indexed="8"/>
      </left>
      <right style="medium">
        <color indexed="8"/>
      </right>
    </border>
    <border>
      <left style="medium">
        <color indexed="8"/>
      </left>
      <right style="medium">
        <color indexed="8"/>
      </right>
      <bottom style="medium"/>
    </border>
    <border>
      <left style="medium">
        <color indexed="8"/>
      </left>
      <right style="medium">
        <color indexed="8"/>
      </right>
      <bottom style="medium">
        <color indexed="8"/>
      </bottom>
    </border>
    <border>
      <right style="medium"/>
      <bottom>
        <color indexed="8"/>
      </bottom>
    </border>
    <border>
      <left>
        <color indexed="8"/>
      </left>
      <right style="medium"/>
      <bottom>
        <color indexed="8"/>
      </bottom>
    </border>
    <border>
      <left>
        <color indexed="8"/>
      </left>
      <right style="medium">
        <color indexed="8"/>
      </right>
      <bottom>
        <color indexed="8"/>
      </bottom>
    </border>
    <border>
      <left>
        <color indexed="8"/>
      </left>
      <right style="medium">
        <color indexed="8"/>
      </right>
      <top>
        <color indexed="8"/>
      </top>
      <bottom>
        <color indexed="8"/>
      </bottom>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s>
  <cellStyleXfs count="1">
    <xf numFmtId="0" fontId="0" fillId="0" borderId="0"/>
  </cellStyleXfs>
  <cellXfs count="170">
    <xf numFmtId="0" fontId="0" fillId="0" borderId="0" xfId="0"/>
    <xf numFmtId="0" fontId="0" fillId="0" borderId="0" xfId="0" applyFont="1"/>
    <xf numFmtId="0" fontId="2" fillId="0" borderId="0" xfId="0" applyFont="1" applyFill="1" applyBorder="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 fillId="0" borderId="0" xfId="0" applyFont="1" applyAlignment="1">
      <alignment horizontal="center" vertical="center"/>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0" fillId="0" borderId="1" xfId="0" applyBorder="1"/>
    <xf numFmtId="0" fontId="0" fillId="0" borderId="0" xfId="0" applyBorder="1" applyAlignment="1">
      <alignment horizontal="center" vertical="center"/>
    </xf>
    <xf numFmtId="0" fontId="0" fillId="0" borderId="0" xfId="0"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9" fillId="0" borderId="0" xfId="0" applyFont="true" applyAlignment="true">
      <alignment horizontal="left" vertical="center"/>
    </xf>
    <xf numFmtId="0" fontId="9" fillId="0" borderId="0" xfId="0" applyFont="true" applyAlignment="true">
      <alignment horizontal="center" vertical="center"/>
    </xf>
    <xf numFmtId="2" fontId="9" fillId="0" borderId="0" xfId="0" applyFont="true" applyAlignment="true" applyNumberFormat="true">
      <alignment horizontal="center" vertical="center"/>
    </xf>
    <xf numFmtId="0" fontId="9" fillId="0" borderId="7" xfId="0" applyFont="true" applyAlignment="true" applyBorder="true">
      <alignment horizontal="left" vertical="center"/>
    </xf>
    <xf numFmtId="0" fontId="9" fillId="0" borderId="9" xfId="0" applyFont="true" applyAlignment="true" applyBorder="true">
      <alignment horizontal="center" vertical="center"/>
    </xf>
    <xf numFmtId="2" fontId="9" fillId="0" borderId="9" xfId="0" applyFont="true" applyAlignment="true" applyBorder="true" applyNumberFormat="true">
      <alignment horizontal="center" vertical="center"/>
    </xf>
    <xf numFmtId="2" fontId="9" fillId="0" borderId="7" xfId="0" applyFont="true" applyAlignment="true" applyBorder="true" applyNumberFormat="true">
      <alignment horizontal="center" vertical="center"/>
    </xf>
    <xf numFmtId="0" fontId="9" fillId="0" borderId="11" xfId="0" applyFont="true" applyAlignment="true" applyBorder="true">
      <alignment horizontal="left" vertical="center"/>
    </xf>
    <xf numFmtId="0" fontId="9" fillId="0" borderId="14" xfId="0" applyFont="true" applyAlignment="true" applyBorder="true">
      <alignment horizontal="center" vertical="center"/>
    </xf>
    <xf numFmtId="2" fontId="9" fillId="0" borderId="14" xfId="0" applyFont="true" applyAlignment="true" applyBorder="true" applyNumberFormat="true">
      <alignment horizontal="center" vertical="center"/>
    </xf>
    <xf numFmtId="0" fontId="0" fillId="6" borderId="18"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3"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8" xfId="0" applyAlignment="true" applyBorder="true" applyNumberFormat="true" applyFill="true" applyFont="true" quotePrefix="false">
      <alignment horizontal="general" vertical="bottom" indent="0" textRotation="0" wrapText="false" shrinkToFit="false"/>
      <protection hidden="false" locked="true"/>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vmlDrawing1.vml.rels><?xml version="1.0" encoding="UTF-8" standalone="yes"?><Relationships xmlns="http://schemas.openxmlformats.org/package/2006/relationships"><Relationship Id="rId1" Target="../media/image1.png" Type="http://schemas.openxmlformats.org/officeDocument/2006/relationships/image"/></Relationships>
</file>

<file path=xl/drawings/_rels/vmlDrawing2.vml.rels><?xml version="1.0" encoding="UTF-8" standalone="yes"?><Relationships xmlns="http://schemas.openxmlformats.org/package/2006/relationships"><Relationship Id="rId1" Target="../media/image1.png" Type="http://schemas.openxmlformats.org/officeDocument/2006/relationships/imag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8"/>
  <sheetViews>
    <sheetView tabSelected="1" workbookViewId="0">
      <selection activeCell="F21" sqref="F21"/>
    </sheetView>
  </sheetViews>
  <sheetFormatPr baseColWidth="10" defaultColWidth="8.83203125" defaultRowHeight="13" x14ac:dyDescent="0.15"/>
  <cols>
    <col min="1" max="1" customWidth="true" width="7.6640625"/>
    <col min="2" max="2" customWidth="true" width="39.0"/>
    <col min="3" max="3" customWidth="true" width="7.83203125"/>
    <col min="4" max="4" customWidth="true" width="8.5"/>
    <col min="5" max="5" customWidth="true" width="52.1640625"/>
    <col min="6" max="6" customWidth="true" width="8.0"/>
    <col min="7" max="7" customWidth="true" width="46.6640625"/>
    <col min="8" max="8" customWidth="true" width="15.5"/>
    <col min="9" max="9" customWidth="true" width="11.33203125"/>
    <col min="10" max="10" customWidth="true" width="11.0"/>
    <col min="11" max="11" customWidth="true" width="10.6640625"/>
    <col min="12" max="12" customWidth="true" width="18.5"/>
    <col min="14" max="14" bestFit="true" customWidth="true" width="10.6640625"/>
  </cols>
  <sheetData>
    <row r="1" spans="1:14" ht="49" customHeight="1" thickBot="1" x14ac:dyDescent="0.2">
      <c r="A1" s="26" t="s">
        <v>24</v>
      </c>
      <c r="B1" s="27"/>
      <c r="C1" s="27"/>
      <c r="D1" s="27"/>
      <c r="E1" s="27"/>
      <c r="F1" s="27"/>
      <c r="G1" s="27"/>
      <c r="H1" s="27"/>
      <c r="I1" s="27"/>
      <c r="J1" s="27"/>
      <c r="K1" s="28"/>
    </row>
    <row r="2" spans="1:14" ht="36" customHeight="1" thickBot="1" x14ac:dyDescent="0.2">
      <c r="C2" s="2"/>
      <c r="E2" s="2"/>
      <c r="J2" s="2"/>
    </row>
    <row r="3" spans="1:14" ht="35" customHeight="1" thickBot="1" x14ac:dyDescent="0.2">
      <c r="A3" s="20" t="s">
        <v>21</v>
      </c>
      <c r="B3" s="21"/>
      <c r="C3" s="21"/>
      <c r="D3" s="21"/>
      <c r="E3" s="21"/>
      <c r="F3" s="21"/>
      <c r="G3" s="21"/>
      <c r="H3" s="21"/>
      <c r="I3" s="21"/>
      <c r="J3" s="21"/>
      <c r="K3" s="22"/>
    </row>
    <row r="4" spans="1:14" ht="35" customHeight="1" thickBot="1" x14ac:dyDescent="0.2">
      <c r="A4" s="11" t="s">
        <v>12</v>
      </c>
      <c r="B4" s="17" t="s">
        <v>22</v>
      </c>
      <c r="C4" s="18"/>
      <c r="D4" s="18"/>
      <c r="E4" s="18"/>
      <c r="F4" s="18"/>
      <c r="G4" s="18"/>
      <c r="H4" s="19"/>
      <c r="I4" s="12" t="s">
        <v>22</v>
      </c>
      <c r="J4" s="12" t="s">
        <v>14</v>
      </c>
      <c r="K4" s="12" t="s">
        <v>18</v>
      </c>
    </row>
    <row r="5" ht="25.0" customHeight="true">
      <c r="A5" t="n" s="35">
        <v>1.0</v>
      </c>
      <c r="B5" t="s" s="34">
        <v>25</v>
      </c>
      <c r="H5" s="41"/>
      <c r="I5" t="n" s="37">
        <v>5.0</v>
      </c>
      <c r="J5" s="36">
        <f>SUMIF(I28:I357, A5, K28:K357)</f>
      </c>
      <c r="K5" s="36">
        <f>ABS(I5-J5)</f>
      </c>
    </row>
    <row r="6" ht="25.0" customHeight="true">
      <c r="A6" t="n" s="35">
        <v>2.0</v>
      </c>
      <c r="B6" t="s" s="34">
        <v>26</v>
      </c>
      <c r="H6" s="41"/>
      <c r="I6" t="n" s="37">
        <v>5.0</v>
      </c>
      <c r="J6" s="36">
        <f>SUMIF(I28:I357, A6, K28:K357)</f>
      </c>
      <c r="K6" s="36">
        <f>ABS(I6-J6)</f>
      </c>
    </row>
    <row r="7" ht="25.0" customHeight="true">
      <c r="A7" t="n" s="35">
        <v>3.0</v>
      </c>
      <c r="B7" t="s" s="34">
        <v>27</v>
      </c>
      <c r="H7" s="41"/>
      <c r="I7" t="n" s="37">
        <v>25.0</v>
      </c>
      <c r="J7" s="36">
        <f>SUMIF(I28:I357, A7, K28:K357)</f>
      </c>
      <c r="K7" s="36">
        <f>ABS(I7-J7)</f>
      </c>
    </row>
    <row r="8" ht="25.0" customHeight="true">
      <c r="A8" t="n" s="35">
        <v>4.0</v>
      </c>
      <c r="B8" t="s" s="34">
        <v>28</v>
      </c>
      <c r="H8" s="41"/>
      <c r="I8" t="n" s="37">
        <v>25.0</v>
      </c>
      <c r="J8" s="36">
        <f>SUMIF(I28:I357, A8, K28:K357)</f>
      </c>
      <c r="K8" s="36">
        <f>ABS(I8-J8)</f>
      </c>
    </row>
    <row r="9" ht="25.0" customHeight="true">
      <c r="A9" t="n" s="39">
        <v>5.0</v>
      </c>
      <c r="B9" t="s" s="38">
        <v>29</v>
      </c>
      <c r="C9" s="42"/>
      <c r="D9" s="42"/>
      <c r="E9" s="42"/>
      <c r="F9" s="42"/>
      <c r="G9" s="42"/>
      <c r="H9" s="43"/>
      <c r="I9" t="n" s="40">
        <v>40.0</v>
      </c>
      <c r="J9" s="40">
        <f>SUMIF(I28:I357, A9, K28:K357)</f>
      </c>
      <c r="K9" s="40">
        <f>ABS(I9-J9)</f>
      </c>
    </row>
    <row r="10" spans="1:14" ht="25.0" customHeight="true" thickBot="1" x14ac:dyDescent="0.2">
      <c r="C10" s="10"/>
      <c r="E10" s="10"/>
      <c r="I10" s="29" t="s">
        <v>20</v>
      </c>
      <c r="J10" s="30"/>
      <c r="K10" s="40">
        <f>SUM(K5:K9)</f>
      </c>
    </row>
    <row r="11" spans="1:14" ht="20" customHeight="1" x14ac:dyDescent="0.15">
      <c r="C11" s="10"/>
      <c r="E11" s="10"/>
      <c r="I11" s="15"/>
      <c r="J11" s="15"/>
      <c r="K11" s="16"/>
    </row>
    <row r="12" spans="1:14" ht="20" customHeight="1" thickBot="1" x14ac:dyDescent="0.2">
      <c r="C12" s="10"/>
      <c r="E12" s="10"/>
      <c r="I12" s="13"/>
      <c r="J12" s="10"/>
    </row>
    <row r="13" spans="1:14" ht="35.0" customHeight="true" thickBot="1" x14ac:dyDescent="0.2">
      <c r="A13" s="20" t="s">
        <v>17</v>
      </c>
      <c r="B13" s="21"/>
      <c r="C13" s="21"/>
      <c r="D13" s="21"/>
      <c r="E13" s="21"/>
      <c r="F13" s="21"/>
      <c r="G13" s="21"/>
      <c r="H13" s="21"/>
      <c r="I13" s="21"/>
      <c r="J13" s="21"/>
      <c r="K13" s="22"/>
    </row>
    <row r="14" spans="1:14" ht="35.0" customHeight="true" thickBot="1" x14ac:dyDescent="0.2">
      <c r="A14" s="11" t="s">
        <v>19</v>
      </c>
      <c r="B14" s="23" t="s">
        <v>13</v>
      </c>
      <c r="C14" s="24"/>
      <c r="D14" s="24"/>
      <c r="E14" s="24"/>
      <c r="F14" s="24"/>
      <c r="G14" s="24"/>
      <c r="H14" s="24"/>
      <c r="I14" s="24"/>
      <c r="J14" s="25"/>
      <c r="K14" s="11" t="s">
        <v>0</v>
      </c>
    </row>
    <row r="15" ht="25.0" customHeight="true">
      <c r="A15" t="s" s="35">
        <v>30</v>
      </c>
      <c r="B15" t="s" s="34">
        <v>31</v>
      </c>
      <c r="J15" s="41"/>
      <c r="K15" t="n" s="37">
        <v>16.5</v>
      </c>
    </row>
    <row r="16" ht="25.0" customHeight="true">
      <c r="A16" t="s" s="35">
        <v>32</v>
      </c>
      <c r="B16" t="s" s="34">
        <v>33</v>
      </c>
      <c r="J16" s="41"/>
      <c r="K16" t="n" s="37">
        <v>23.0</v>
      </c>
    </row>
    <row r="17" ht="25.0" customHeight="true">
      <c r="A17" t="s" s="35">
        <v>34</v>
      </c>
      <c r="B17" t="s" s="34">
        <v>35</v>
      </c>
      <c r="J17" s="41"/>
      <c r="K17" t="n" s="37">
        <v>16.75</v>
      </c>
    </row>
    <row r="18" ht="25.0" customHeight="true">
      <c r="A18" t="s" s="35">
        <v>36</v>
      </c>
      <c r="B18" t="s" s="34">
        <v>37</v>
      </c>
      <c r="J18" s="41"/>
      <c r="K18" t="n" s="37">
        <v>22.0</v>
      </c>
    </row>
    <row r="19" ht="25.0" customHeight="true">
      <c r="A19" t="s" s="35">
        <v>38</v>
      </c>
      <c r="B19" t="s" s="34">
        <v>39</v>
      </c>
      <c r="J19" s="41"/>
      <c r="K19" t="n" s="37">
        <v>16.75</v>
      </c>
    </row>
    <row r="20" ht="25.0" customHeight="true">
      <c r="A20" t="s" s="35">
        <v>40</v>
      </c>
      <c r="B20" t="s" s="34">
        <v>41</v>
      </c>
      <c r="J20" s="41"/>
      <c r="K20" t="n" s="37">
        <v>5.0</v>
      </c>
    </row>
    <row r="21" ht="25.0" customHeight="true">
      <c r="A21" t="s" s="35">
        <v>42</v>
      </c>
      <c r="B21" s="34"/>
      <c r="J21" s="41"/>
      <c r="K21" s="37"/>
    </row>
    <row r="22" ht="25.0" customHeight="true">
      <c r="A22" t="s" s="35">
        <v>43</v>
      </c>
      <c r="B22" s="34"/>
      <c r="J22" s="41"/>
      <c r="K22" s="37"/>
    </row>
    <row r="23" ht="25.0" customHeight="true">
      <c r="A23" t="s" s="35">
        <v>44</v>
      </c>
      <c r="B23" s="34"/>
      <c r="J23" s="41"/>
      <c r="K23" s="37"/>
    </row>
    <row r="24" ht="25.0" customHeight="true">
      <c r="A24" t="s" s="39">
        <v>45</v>
      </c>
      <c r="B24" s="38"/>
      <c r="C24" s="42"/>
      <c r="D24" s="42"/>
      <c r="E24" s="42"/>
      <c r="F24" s="42"/>
      <c r="G24" s="42"/>
      <c r="H24" s="42"/>
      <c r="I24" s="42"/>
      <c r="J24" s="43"/>
      <c r="K24" s="40"/>
    </row>
    <row r="25" spans="1:14" ht="20" customHeight="1" x14ac:dyDescent="0.15">
      <c r="F25" s="8"/>
      <c r="G25" s="9"/>
      <c r="H25" s="9"/>
      <c r="I25" s="9"/>
      <c r="J25" s="3"/>
    </row>
    <row r="26" spans="1:14" ht="20" customHeight="1" thickBot="1" x14ac:dyDescent="0.2">
      <c r="C26" s="3"/>
      <c r="H26" s="3"/>
      <c r="I26" s="3"/>
      <c r="J26" s="3"/>
    </row>
    <row r="27" spans="1:14" ht="71" thickBot="1" x14ac:dyDescent="0.2">
      <c r="A27" s="4" t="s">
        <v>15</v>
      </c>
      <c r="B27" s="4" t="s">
        <v>16</v>
      </c>
      <c r="C27" s="4" t="s">
        <v>10</v>
      </c>
      <c r="D27" s="4" t="s">
        <v>6</v>
      </c>
      <c r="E27" s="4" t="s">
        <v>1</v>
      </c>
      <c r="F27" s="4" t="s">
        <v>2</v>
      </c>
      <c r="G27" s="4" t="s">
        <v>8</v>
      </c>
      <c r="H27" s="4" t="s">
        <v>9</v>
      </c>
      <c r="I27" s="4" t="s">
        <v>23</v>
      </c>
      <c r="J27" s="4" t="s">
        <v>11</v>
      </c>
      <c r="K27" s="4" t="s">
        <v>3</v>
      </c>
      <c r="L27" s="5" t="s">
        <v>7</v>
      </c>
      <c r="M27" s="6" t="s">
        <v>4</v>
      </c>
      <c r="N27" s="7">
        <f>SUM(K28:K95)</f>
      </c>
    </row>
    <row r="28">
      <c r="A28" s="35" t="s">
        <v>46</v>
      </c>
      <c r="B28" s="34" t="s">
        <v>47</v>
      </c>
      <c r="C28" s="35" t="s">
        <v>49</v>
      </c>
      <c r="D28" s="34" t="s">
        <v>48</v>
      </c>
      <c r="E28" s="34" t="s">
        <v>48</v>
      </c>
      <c r="F28" s="34" t="s">
        <v>48</v>
      </c>
      <c r="G28" s="34" t="s">
        <v>48</v>
      </c>
      <c r="H28" s="34" t="s">
        <v>48</v>
      </c>
      <c r="I28" s="34" t="s">
        <v>48</v>
      </c>
      <c r="J28" s="34" t="s">
        <v>48</v>
      </c>
      <c r="K28" s="34" t="s">
        <v>48</v>
      </c>
    </row>
    <row r="29">
      <c r="A29" s="35" t="s">
        <v>48</v>
      </c>
      <c r="B29" s="34" t="s">
        <v>48</v>
      </c>
      <c r="C29" s="35" t="s">
        <v>48</v>
      </c>
      <c r="D29" s="35" t="s">
        <v>52</v>
      </c>
      <c r="E29" s="34" t="s">
        <v>53</v>
      </c>
      <c r="F29" s="35" t="s">
        <v>48</v>
      </c>
      <c r="G29" s="34" t="s">
        <v>54</v>
      </c>
      <c r="H29" s="34" t="s">
        <v>48</v>
      </c>
      <c r="I29" s="35" t="n">
        <v>3.0</v>
      </c>
      <c r="J29" s="35" t="n">
        <v>1.0</v>
      </c>
      <c r="K29" s="37" t="n">
        <v>0.5</v>
      </c>
    </row>
    <row r="30">
      <c r="A30" s="35" t="s">
        <v>48</v>
      </c>
      <c r="B30" s="34" t="s">
        <v>48</v>
      </c>
      <c r="C30" s="35" t="s">
        <v>48</v>
      </c>
      <c r="D30" s="35" t="s">
        <v>52</v>
      </c>
      <c r="E30" s="34" t="s">
        <v>55</v>
      </c>
      <c r="F30" s="35" t="s">
        <v>48</v>
      </c>
      <c r="G30" s="34" t="s">
        <v>56</v>
      </c>
      <c r="H30" s="34" t="s">
        <v>48</v>
      </c>
      <c r="I30" s="35" t="n">
        <v>3.0</v>
      </c>
      <c r="J30" s="35" t="n">
        <v>1.0</v>
      </c>
      <c r="K30" s="37" t="n">
        <v>0.25</v>
      </c>
    </row>
    <row r="31">
      <c r="A31" s="35" t="s">
        <v>48</v>
      </c>
      <c r="B31" s="34" t="s">
        <v>48</v>
      </c>
      <c r="C31" s="35" t="s">
        <v>48</v>
      </c>
      <c r="D31" s="35" t="s">
        <v>45</v>
      </c>
      <c r="E31" s="34" t="s">
        <v>57</v>
      </c>
      <c r="F31" s="35" t="s">
        <v>48</v>
      </c>
      <c r="G31" s="34" t="s">
        <v>48</v>
      </c>
      <c r="H31" s="34" t="s">
        <v>48</v>
      </c>
      <c r="I31" s="35" t="n">
        <v>3.0</v>
      </c>
      <c r="J31" s="35"/>
      <c r="K31" s="37" t="n">
        <v>0.75</v>
      </c>
    </row>
    <row r="32">
      <c r="A32" s="35" t="s">
        <v>48</v>
      </c>
      <c r="B32" s="34" t="s">
        <v>48</v>
      </c>
      <c r="C32" s="35" t="s">
        <v>48</v>
      </c>
      <c r="D32" s="35" t="s">
        <v>48</v>
      </c>
      <c r="E32" s="34" t="s">
        <v>48</v>
      </c>
      <c r="F32" s="35" t="n">
        <v>0.0</v>
      </c>
      <c r="G32" s="34" t="s">
        <v>58</v>
      </c>
      <c r="H32" s="34" t="s">
        <v>48</v>
      </c>
      <c r="I32" s="35"/>
      <c r="J32" s="35"/>
      <c r="K32" s="37"/>
    </row>
    <row r="33">
      <c r="A33" s="35" t="s">
        <v>48</v>
      </c>
      <c r="B33" s="34" t="s">
        <v>48</v>
      </c>
      <c r="C33" s="35" t="s">
        <v>48</v>
      </c>
      <c r="D33" s="35" t="s">
        <v>48</v>
      </c>
      <c r="E33" s="34" t="s">
        <v>48</v>
      </c>
      <c r="F33" s="35" t="n">
        <v>1.0</v>
      </c>
      <c r="G33" s="34" t="s">
        <v>59</v>
      </c>
      <c r="H33" s="34" t="s">
        <v>48</v>
      </c>
      <c r="I33" s="35"/>
      <c r="J33" s="35"/>
      <c r="K33" s="37"/>
    </row>
    <row r="34">
      <c r="A34" s="35" t="s">
        <v>48</v>
      </c>
      <c r="B34" s="34" t="s">
        <v>48</v>
      </c>
      <c r="C34" s="35" t="s">
        <v>48</v>
      </c>
      <c r="D34" s="35" t="s">
        <v>48</v>
      </c>
      <c r="E34" s="34" t="s">
        <v>48</v>
      </c>
      <c r="F34" s="35" t="n">
        <v>2.0</v>
      </c>
      <c r="G34" s="34" t="s">
        <v>60</v>
      </c>
      <c r="H34" s="34" t="s">
        <v>48</v>
      </c>
      <c r="I34" s="35"/>
      <c r="J34" s="35"/>
      <c r="K34" s="37"/>
    </row>
    <row r="35">
      <c r="A35" s="35" t="s">
        <v>48</v>
      </c>
      <c r="B35" s="34" t="s">
        <v>48</v>
      </c>
      <c r="C35" s="35" t="s">
        <v>48</v>
      </c>
      <c r="D35" s="35" t="s">
        <v>48</v>
      </c>
      <c r="E35" s="34" t="s">
        <v>48</v>
      </c>
      <c r="F35" s="35" t="n">
        <v>3.0</v>
      </c>
      <c r="G35" s="34" t="s">
        <v>61</v>
      </c>
      <c r="H35" s="34" t="s">
        <v>48</v>
      </c>
      <c r="I35" s="35"/>
      <c r="J35" s="35"/>
      <c r="K35" s="37"/>
    </row>
    <row r="36">
      <c r="A36" s="35" t="s">
        <v>48</v>
      </c>
      <c r="B36" s="34" t="s">
        <v>48</v>
      </c>
      <c r="C36" s="35" t="s">
        <v>48</v>
      </c>
      <c r="D36" s="35" t="s">
        <v>45</v>
      </c>
      <c r="E36" s="34" t="s">
        <v>62</v>
      </c>
      <c r="F36" s="35" t="s">
        <v>48</v>
      </c>
      <c r="G36" s="34" t="s">
        <v>48</v>
      </c>
      <c r="H36" s="34" t="s">
        <v>48</v>
      </c>
      <c r="I36" s="35" t="n">
        <v>3.0</v>
      </c>
      <c r="J36" s="35"/>
      <c r="K36" s="37" t="n">
        <v>0.5</v>
      </c>
    </row>
    <row r="37">
      <c r="A37" s="35" t="s">
        <v>48</v>
      </c>
      <c r="B37" s="34" t="s">
        <v>48</v>
      </c>
      <c r="C37" s="35" t="s">
        <v>48</v>
      </c>
      <c r="D37" s="35" t="s">
        <v>48</v>
      </c>
      <c r="E37" s="34" t="s">
        <v>48</v>
      </c>
      <c r="F37" s="35" t="n">
        <v>0.0</v>
      </c>
      <c r="G37" s="34" t="s">
        <v>63</v>
      </c>
      <c r="H37" s="34" t="s">
        <v>48</v>
      </c>
      <c r="I37" s="35"/>
      <c r="J37" s="35"/>
      <c r="K37" s="37"/>
    </row>
    <row r="38">
      <c r="A38" s="35" t="s">
        <v>48</v>
      </c>
      <c r="B38" s="34" t="s">
        <v>48</v>
      </c>
      <c r="C38" s="35" t="s">
        <v>48</v>
      </c>
      <c r="D38" s="35" t="s">
        <v>48</v>
      </c>
      <c r="E38" s="34" t="s">
        <v>48</v>
      </c>
      <c r="F38" s="35" t="n">
        <v>1.0</v>
      </c>
      <c r="G38" s="34" t="s">
        <v>64</v>
      </c>
      <c r="H38" s="34" t="s">
        <v>48</v>
      </c>
      <c r="I38" s="35"/>
      <c r="J38" s="35"/>
      <c r="K38" s="37"/>
    </row>
    <row r="39">
      <c r="A39" s="35" t="s">
        <v>48</v>
      </c>
      <c r="B39" s="34" t="s">
        <v>48</v>
      </c>
      <c r="C39" s="35" t="s">
        <v>48</v>
      </c>
      <c r="D39" s="35" t="s">
        <v>48</v>
      </c>
      <c r="E39" s="34" t="s">
        <v>48</v>
      </c>
      <c r="F39" s="35" t="n">
        <v>2.0</v>
      </c>
      <c r="G39" s="34" t="s">
        <v>65</v>
      </c>
      <c r="H39" s="34" t="s">
        <v>48</v>
      </c>
      <c r="I39" s="35"/>
      <c r="J39" s="35"/>
      <c r="K39" s="37"/>
    </row>
    <row r="40">
      <c r="A40" s="35" t="s">
        <v>48</v>
      </c>
      <c r="B40" s="34" t="s">
        <v>48</v>
      </c>
      <c r="C40" s="35" t="s">
        <v>48</v>
      </c>
      <c r="D40" s="35" t="s">
        <v>48</v>
      </c>
      <c r="E40" s="34" t="s">
        <v>48</v>
      </c>
      <c r="F40" s="35" t="n">
        <v>3.0</v>
      </c>
      <c r="G40" s="34" t="s">
        <v>66</v>
      </c>
      <c r="H40" s="34" t="s">
        <v>48</v>
      </c>
      <c r="I40" s="35"/>
      <c r="J40" s="35"/>
      <c r="K40" s="37"/>
    </row>
    <row r="41">
      <c r="A41" s="35" t="s">
        <v>67</v>
      </c>
      <c r="B41" s="34" t="s">
        <v>68</v>
      </c>
      <c r="C41" s="35" t="s">
        <v>49</v>
      </c>
      <c r="D41" s="34" t="s">
        <v>48</v>
      </c>
      <c r="E41" s="34" t="s">
        <v>48</v>
      </c>
      <c r="F41" s="34" t="s">
        <v>48</v>
      </c>
      <c r="G41" s="34" t="s">
        <v>48</v>
      </c>
      <c r="H41" s="34" t="s">
        <v>48</v>
      </c>
      <c r="I41" s="34" t="s">
        <v>48</v>
      </c>
      <c r="J41" s="34" t="s">
        <v>48</v>
      </c>
      <c r="K41" s="34" t="s">
        <v>48</v>
      </c>
    </row>
    <row r="42">
      <c r="A42" s="35" t="s">
        <v>48</v>
      </c>
      <c r="B42" s="34" t="s">
        <v>48</v>
      </c>
      <c r="C42" s="35" t="s">
        <v>48</v>
      </c>
      <c r="D42" s="35" t="s">
        <v>52</v>
      </c>
      <c r="E42" s="34" t="s">
        <v>69</v>
      </c>
      <c r="F42" s="35" t="s">
        <v>48</v>
      </c>
      <c r="G42" s="34" t="s">
        <v>48</v>
      </c>
      <c r="H42" s="34" t="s">
        <v>48</v>
      </c>
      <c r="I42" s="35" t="n">
        <v>1.0</v>
      </c>
      <c r="J42" s="35" t="n">
        <v>1.0</v>
      </c>
      <c r="K42" s="37" t="n">
        <v>0.5</v>
      </c>
    </row>
    <row r="43">
      <c r="A43" s="35" t="s">
        <v>48</v>
      </c>
      <c r="B43" s="34" t="s">
        <v>48</v>
      </c>
      <c r="C43" s="35" t="s">
        <v>48</v>
      </c>
      <c r="D43" s="35" t="s">
        <v>52</v>
      </c>
      <c r="E43" s="34" t="s">
        <v>70</v>
      </c>
      <c r="F43" s="35" t="s">
        <v>48</v>
      </c>
      <c r="G43" s="34" t="s">
        <v>48</v>
      </c>
      <c r="H43" s="34" t="s">
        <v>48</v>
      </c>
      <c r="I43" s="35" t="n">
        <v>3.0</v>
      </c>
      <c r="J43" s="35" t="n">
        <v>1.0</v>
      </c>
      <c r="K43" s="37" t="n">
        <v>0.2</v>
      </c>
    </row>
    <row r="44">
      <c r="A44" s="35" t="s">
        <v>48</v>
      </c>
      <c r="B44" s="34" t="s">
        <v>48</v>
      </c>
      <c r="C44" s="35" t="s">
        <v>48</v>
      </c>
      <c r="D44" s="35" t="s">
        <v>52</v>
      </c>
      <c r="E44" s="34" t="s">
        <v>71</v>
      </c>
      <c r="F44" s="35" t="s">
        <v>48</v>
      </c>
      <c r="G44" s="34" t="s">
        <v>48</v>
      </c>
      <c r="H44" s="34" t="s">
        <v>48</v>
      </c>
      <c r="I44" s="35" t="n">
        <v>3.0</v>
      </c>
      <c r="J44" s="35" t="n">
        <v>1.0</v>
      </c>
      <c r="K44" s="37" t="n">
        <v>0.2</v>
      </c>
    </row>
    <row r="45">
      <c r="A45" s="35" t="s">
        <v>48</v>
      </c>
      <c r="B45" s="34" t="s">
        <v>48</v>
      </c>
      <c r="C45" s="35" t="s">
        <v>48</v>
      </c>
      <c r="D45" s="35" t="s">
        <v>52</v>
      </c>
      <c r="E45" s="34" t="s">
        <v>72</v>
      </c>
      <c r="F45" s="35" t="s">
        <v>48</v>
      </c>
      <c r="G45" s="34" t="s">
        <v>48</v>
      </c>
      <c r="H45" s="34" t="s">
        <v>48</v>
      </c>
      <c r="I45" s="35" t="n">
        <v>3.0</v>
      </c>
      <c r="J45" s="35" t="n">
        <v>1.0</v>
      </c>
      <c r="K45" s="37" t="n">
        <v>0.2</v>
      </c>
    </row>
    <row r="46">
      <c r="A46" s="35" t="s">
        <v>48</v>
      </c>
      <c r="B46" s="34" t="s">
        <v>48</v>
      </c>
      <c r="C46" s="35" t="s">
        <v>48</v>
      </c>
      <c r="D46" s="35" t="s">
        <v>52</v>
      </c>
      <c r="E46" s="34" t="s">
        <v>73</v>
      </c>
      <c r="F46" s="35" t="s">
        <v>48</v>
      </c>
      <c r="G46" s="34" t="s">
        <v>48</v>
      </c>
      <c r="H46" s="34" t="s">
        <v>48</v>
      </c>
      <c r="I46" s="35" t="n">
        <v>3.0</v>
      </c>
      <c r="J46" s="35" t="n">
        <v>1.0</v>
      </c>
      <c r="K46" s="37" t="n">
        <v>0.2</v>
      </c>
    </row>
    <row r="47">
      <c r="A47" s="35" t="s">
        <v>48</v>
      </c>
      <c r="B47" s="34" t="s">
        <v>48</v>
      </c>
      <c r="C47" s="35" t="s">
        <v>48</v>
      </c>
      <c r="D47" s="35" t="s">
        <v>52</v>
      </c>
      <c r="E47" s="34" t="s">
        <v>74</v>
      </c>
      <c r="F47" s="35" t="s">
        <v>48</v>
      </c>
      <c r="G47" s="34" t="s">
        <v>48</v>
      </c>
      <c r="H47" s="34" t="s">
        <v>48</v>
      </c>
      <c r="I47" s="35" t="n">
        <v>3.0</v>
      </c>
      <c r="J47" s="35" t="n">
        <v>1.0</v>
      </c>
      <c r="K47" s="37" t="n">
        <v>0.2</v>
      </c>
    </row>
    <row r="48">
      <c r="A48" s="35" t="s">
        <v>48</v>
      </c>
      <c r="B48" s="34" t="s">
        <v>48</v>
      </c>
      <c r="C48" s="35" t="s">
        <v>48</v>
      </c>
      <c r="D48" s="35" t="s">
        <v>52</v>
      </c>
      <c r="E48" s="34" t="s">
        <v>75</v>
      </c>
      <c r="F48" s="35" t="s">
        <v>48</v>
      </c>
      <c r="G48" s="34" t="s">
        <v>48</v>
      </c>
      <c r="H48" s="34" t="s">
        <v>48</v>
      </c>
      <c r="I48" s="35" t="n">
        <v>3.0</v>
      </c>
      <c r="J48" s="35" t="n">
        <v>1.0</v>
      </c>
      <c r="K48" s="37" t="n">
        <v>0.15</v>
      </c>
    </row>
    <row r="49">
      <c r="A49" s="35" t="s">
        <v>48</v>
      </c>
      <c r="B49" s="34" t="s">
        <v>48</v>
      </c>
      <c r="C49" s="35" t="s">
        <v>48</v>
      </c>
      <c r="D49" s="35" t="s">
        <v>52</v>
      </c>
      <c r="E49" s="34" t="s">
        <v>76</v>
      </c>
      <c r="F49" s="35" t="s">
        <v>48</v>
      </c>
      <c r="G49" s="34" t="s">
        <v>48</v>
      </c>
      <c r="H49" s="34" t="s">
        <v>48</v>
      </c>
      <c r="I49" s="35" t="n">
        <v>3.0</v>
      </c>
      <c r="J49" s="35" t="n">
        <v>1.0</v>
      </c>
      <c r="K49" s="37" t="n">
        <v>0.15</v>
      </c>
    </row>
    <row r="50">
      <c r="A50" s="35" t="s">
        <v>48</v>
      </c>
      <c r="B50" s="34" t="s">
        <v>48</v>
      </c>
      <c r="C50" s="35" t="s">
        <v>48</v>
      </c>
      <c r="D50" s="35" t="s">
        <v>52</v>
      </c>
      <c r="E50" s="34" t="s">
        <v>77</v>
      </c>
      <c r="F50" s="35" t="s">
        <v>48</v>
      </c>
      <c r="G50" s="34" t="s">
        <v>48</v>
      </c>
      <c r="H50" s="34" t="s">
        <v>48</v>
      </c>
      <c r="I50" s="35" t="n">
        <v>3.0</v>
      </c>
      <c r="J50" s="35" t="n">
        <v>1.0</v>
      </c>
      <c r="K50" s="37" t="n">
        <v>0.15</v>
      </c>
    </row>
    <row r="51">
      <c r="A51" s="35" t="s">
        <v>48</v>
      </c>
      <c r="B51" s="34" t="s">
        <v>48</v>
      </c>
      <c r="C51" s="35" t="s">
        <v>48</v>
      </c>
      <c r="D51" s="35" t="s">
        <v>52</v>
      </c>
      <c r="E51" s="34" t="s">
        <v>78</v>
      </c>
      <c r="F51" s="35" t="s">
        <v>48</v>
      </c>
      <c r="G51" s="34" t="s">
        <v>48</v>
      </c>
      <c r="H51" s="34" t="s">
        <v>48</v>
      </c>
      <c r="I51" s="35" t="n">
        <v>3.0</v>
      </c>
      <c r="J51" s="35" t="n">
        <v>1.0</v>
      </c>
      <c r="K51" s="37" t="n">
        <v>0.15</v>
      </c>
    </row>
    <row r="52">
      <c r="A52" s="35" t="s">
        <v>48</v>
      </c>
      <c r="B52" s="34" t="s">
        <v>48</v>
      </c>
      <c r="C52" s="35" t="s">
        <v>48</v>
      </c>
      <c r="D52" s="35" t="s">
        <v>52</v>
      </c>
      <c r="E52" s="34" t="s">
        <v>79</v>
      </c>
      <c r="F52" s="35" t="s">
        <v>48</v>
      </c>
      <c r="G52" s="34" t="s">
        <v>48</v>
      </c>
      <c r="H52" s="34" t="s">
        <v>48</v>
      </c>
      <c r="I52" s="35" t="n">
        <v>3.0</v>
      </c>
      <c r="J52" s="35" t="n">
        <v>1.0</v>
      </c>
      <c r="K52" s="37" t="n">
        <v>0.15</v>
      </c>
    </row>
    <row r="53">
      <c r="A53" s="35" t="s">
        <v>48</v>
      </c>
      <c r="B53" s="34" t="s">
        <v>48</v>
      </c>
      <c r="C53" s="35" t="s">
        <v>48</v>
      </c>
      <c r="D53" s="35" t="s">
        <v>45</v>
      </c>
      <c r="E53" s="34" t="s">
        <v>80</v>
      </c>
      <c r="F53" s="35" t="s">
        <v>48</v>
      </c>
      <c r="G53" s="34" t="s">
        <v>48</v>
      </c>
      <c r="H53" s="34" t="s">
        <v>48</v>
      </c>
      <c r="I53" s="35" t="n">
        <v>3.0</v>
      </c>
      <c r="J53" s="35"/>
      <c r="K53" s="37" t="n">
        <v>1.25</v>
      </c>
    </row>
    <row r="54">
      <c r="A54" s="35" t="s">
        <v>48</v>
      </c>
      <c r="B54" s="34" t="s">
        <v>48</v>
      </c>
      <c r="C54" s="35" t="s">
        <v>48</v>
      </c>
      <c r="D54" s="35" t="s">
        <v>48</v>
      </c>
      <c r="E54" s="34" t="s">
        <v>48</v>
      </c>
      <c r="F54" s="35" t="n">
        <v>0.0</v>
      </c>
      <c r="G54" s="34" t="s">
        <v>58</v>
      </c>
      <c r="H54" s="34" t="s">
        <v>48</v>
      </c>
      <c r="I54" s="35"/>
      <c r="J54" s="35"/>
      <c r="K54" s="37"/>
    </row>
    <row r="55">
      <c r="A55" s="35" t="s">
        <v>48</v>
      </c>
      <c r="B55" s="34" t="s">
        <v>48</v>
      </c>
      <c r="C55" s="35" t="s">
        <v>48</v>
      </c>
      <c r="D55" s="35" t="s">
        <v>48</v>
      </c>
      <c r="E55" s="34" t="s">
        <v>48</v>
      </c>
      <c r="F55" s="35" t="n">
        <v>1.0</v>
      </c>
      <c r="G55" s="34" t="s">
        <v>81</v>
      </c>
      <c r="H55" s="34" t="s">
        <v>48</v>
      </c>
      <c r="I55" s="35"/>
      <c r="J55" s="35"/>
      <c r="K55" s="37"/>
    </row>
    <row r="56">
      <c r="A56" s="35" t="s">
        <v>48</v>
      </c>
      <c r="B56" s="34" t="s">
        <v>48</v>
      </c>
      <c r="C56" s="35" t="s">
        <v>48</v>
      </c>
      <c r="D56" s="35" t="s">
        <v>48</v>
      </c>
      <c r="E56" s="34" t="s">
        <v>48</v>
      </c>
      <c r="F56" s="35" t="n">
        <v>2.0</v>
      </c>
      <c r="G56" s="34" t="s">
        <v>82</v>
      </c>
      <c r="H56" s="34" t="s">
        <v>48</v>
      </c>
      <c r="I56" s="35"/>
      <c r="J56" s="35"/>
      <c r="K56" s="37"/>
    </row>
    <row r="57">
      <c r="A57" s="35" t="s">
        <v>48</v>
      </c>
      <c r="B57" s="34" t="s">
        <v>48</v>
      </c>
      <c r="C57" s="35" t="s">
        <v>48</v>
      </c>
      <c r="D57" s="35" t="s">
        <v>48</v>
      </c>
      <c r="E57" s="34" t="s">
        <v>48</v>
      </c>
      <c r="F57" s="35" t="n">
        <v>3.0</v>
      </c>
      <c r="G57" s="34" t="s">
        <v>83</v>
      </c>
      <c r="H57" s="34" t="s">
        <v>48</v>
      </c>
      <c r="I57" s="35"/>
      <c r="J57" s="35"/>
      <c r="K57" s="37"/>
    </row>
    <row r="58">
      <c r="A58" s="35" t="s">
        <v>84</v>
      </c>
      <c r="B58" s="34" t="s">
        <v>85</v>
      </c>
      <c r="C58" s="35" t="s">
        <v>49</v>
      </c>
      <c r="D58" s="34" t="s">
        <v>48</v>
      </c>
      <c r="E58" s="34" t="s">
        <v>48</v>
      </c>
      <c r="F58" s="34" t="s">
        <v>48</v>
      </c>
      <c r="G58" s="34" t="s">
        <v>48</v>
      </c>
      <c r="H58" s="34" t="s">
        <v>48</v>
      </c>
      <c r="I58" s="34" t="s">
        <v>48</v>
      </c>
      <c r="J58" s="34" t="s">
        <v>48</v>
      </c>
      <c r="K58" s="34" t="s">
        <v>48</v>
      </c>
    </row>
    <row r="59">
      <c r="A59" s="35" t="s">
        <v>48</v>
      </c>
      <c r="B59" s="34" t="s">
        <v>48</v>
      </c>
      <c r="C59" s="35" t="s">
        <v>48</v>
      </c>
      <c r="D59" s="35" t="s">
        <v>52</v>
      </c>
      <c r="E59" s="34" t="s">
        <v>86</v>
      </c>
      <c r="F59" s="35" t="s">
        <v>48</v>
      </c>
      <c r="G59" s="34" t="s">
        <v>48</v>
      </c>
      <c r="H59" s="34" t="s">
        <v>48</v>
      </c>
      <c r="I59" s="35" t="n">
        <v>3.0</v>
      </c>
      <c r="J59" s="35" t="n">
        <v>1.0</v>
      </c>
      <c r="K59" s="37" t="n">
        <v>0.4</v>
      </c>
    </row>
    <row r="60">
      <c r="A60" s="35" t="s">
        <v>48</v>
      </c>
      <c r="B60" s="34" t="s">
        <v>48</v>
      </c>
      <c r="C60" s="35" t="s">
        <v>48</v>
      </c>
      <c r="D60" s="35" t="s">
        <v>52</v>
      </c>
      <c r="E60" s="34" t="s">
        <v>87</v>
      </c>
      <c r="F60" s="35" t="s">
        <v>48</v>
      </c>
      <c r="G60" s="34" t="s">
        <v>48</v>
      </c>
      <c r="H60" s="34" t="s">
        <v>48</v>
      </c>
      <c r="I60" s="35" t="n">
        <v>3.0</v>
      </c>
      <c r="J60" s="35" t="n">
        <v>1.0</v>
      </c>
      <c r="K60" s="37" t="n">
        <v>0.3</v>
      </c>
    </row>
    <row r="61">
      <c r="A61" s="35" t="s">
        <v>48</v>
      </c>
      <c r="B61" s="34" t="s">
        <v>48</v>
      </c>
      <c r="C61" s="35" t="s">
        <v>48</v>
      </c>
      <c r="D61" s="35" t="s">
        <v>52</v>
      </c>
      <c r="E61" s="34" t="s">
        <v>88</v>
      </c>
      <c r="F61" s="35" t="s">
        <v>48</v>
      </c>
      <c r="G61" s="34" t="s">
        <v>48</v>
      </c>
      <c r="H61" s="34" t="s">
        <v>48</v>
      </c>
      <c r="I61" s="35" t="n">
        <v>3.0</v>
      </c>
      <c r="J61" s="35" t="n">
        <v>1.0</v>
      </c>
      <c r="K61" s="37" t="n">
        <v>0.3</v>
      </c>
    </row>
    <row r="62">
      <c r="A62" s="35" t="s">
        <v>48</v>
      </c>
      <c r="B62" s="34" t="s">
        <v>48</v>
      </c>
      <c r="C62" s="35" t="s">
        <v>48</v>
      </c>
      <c r="D62" s="35" t="s">
        <v>52</v>
      </c>
      <c r="E62" s="34" t="s">
        <v>89</v>
      </c>
      <c r="F62" s="35" t="s">
        <v>48</v>
      </c>
      <c r="G62" s="34" t="s">
        <v>90</v>
      </c>
      <c r="H62" s="34" t="s">
        <v>48</v>
      </c>
      <c r="I62" s="35" t="n">
        <v>3.0</v>
      </c>
      <c r="J62" s="35" t="n">
        <v>1.0</v>
      </c>
      <c r="K62" s="37" t="n">
        <v>0.25</v>
      </c>
    </row>
    <row r="63">
      <c r="A63" s="35" t="s">
        <v>48</v>
      </c>
      <c r="B63" s="34" t="s">
        <v>48</v>
      </c>
      <c r="C63" s="35" t="s">
        <v>48</v>
      </c>
      <c r="D63" s="35" t="s">
        <v>52</v>
      </c>
      <c r="E63" s="34" t="s">
        <v>91</v>
      </c>
      <c r="F63" s="35" t="s">
        <v>48</v>
      </c>
      <c r="G63" s="34" t="s">
        <v>92</v>
      </c>
      <c r="H63" s="34" t="s">
        <v>48</v>
      </c>
      <c r="I63" s="35" t="n">
        <v>3.0</v>
      </c>
      <c r="J63" s="35" t="n">
        <v>1.0</v>
      </c>
      <c r="K63" s="37" t="n">
        <v>0.3</v>
      </c>
    </row>
    <row r="64">
      <c r="A64" s="35" t="s">
        <v>48</v>
      </c>
      <c r="B64" s="34" t="s">
        <v>48</v>
      </c>
      <c r="C64" s="35" t="s">
        <v>48</v>
      </c>
      <c r="D64" s="35" t="s">
        <v>52</v>
      </c>
      <c r="E64" s="34" t="s">
        <v>93</v>
      </c>
      <c r="F64" s="35" t="s">
        <v>48</v>
      </c>
      <c r="G64" s="34" t="s">
        <v>94</v>
      </c>
      <c r="H64" s="34" t="s">
        <v>48</v>
      </c>
      <c r="I64" s="35" t="n">
        <v>3.0</v>
      </c>
      <c r="J64" s="35" t="n">
        <v>1.0</v>
      </c>
      <c r="K64" s="37" t="n">
        <v>0.25</v>
      </c>
    </row>
    <row r="65">
      <c r="A65" s="35" t="s">
        <v>48</v>
      </c>
      <c r="B65" s="34" t="s">
        <v>48</v>
      </c>
      <c r="C65" s="35" t="s">
        <v>48</v>
      </c>
      <c r="D65" s="35" t="s">
        <v>52</v>
      </c>
      <c r="E65" s="34" t="s">
        <v>95</v>
      </c>
      <c r="F65" s="35" t="s">
        <v>48</v>
      </c>
      <c r="G65" s="34" t="s">
        <v>96</v>
      </c>
      <c r="H65" s="34" t="s">
        <v>48</v>
      </c>
      <c r="I65" s="35" t="n">
        <v>3.0</v>
      </c>
      <c r="J65" s="35" t="n">
        <v>1.0</v>
      </c>
      <c r="K65" s="37" t="n">
        <v>0.2</v>
      </c>
    </row>
    <row r="66">
      <c r="A66" s="35" t="s">
        <v>48</v>
      </c>
      <c r="B66" s="34" t="s">
        <v>48</v>
      </c>
      <c r="C66" s="35" t="s">
        <v>48</v>
      </c>
      <c r="D66" s="35" t="s">
        <v>45</v>
      </c>
      <c r="E66" s="34" t="s">
        <v>97</v>
      </c>
      <c r="F66" s="35" t="s">
        <v>48</v>
      </c>
      <c r="G66" s="34" t="s">
        <v>48</v>
      </c>
      <c r="H66" s="34" t="s">
        <v>48</v>
      </c>
      <c r="I66" s="35" t="n">
        <v>3.0</v>
      </c>
      <c r="J66" s="35"/>
      <c r="K66" s="37" t="n">
        <v>1.25</v>
      </c>
    </row>
    <row r="67">
      <c r="A67" s="35" t="s">
        <v>48</v>
      </c>
      <c r="B67" s="34" t="s">
        <v>48</v>
      </c>
      <c r="C67" s="35" t="s">
        <v>48</v>
      </c>
      <c r="D67" s="35" t="s">
        <v>48</v>
      </c>
      <c r="E67" s="34" t="s">
        <v>48</v>
      </c>
      <c r="F67" s="35" t="n">
        <v>0.0</v>
      </c>
      <c r="G67" s="34" t="s">
        <v>58</v>
      </c>
      <c r="H67" s="34" t="s">
        <v>48</v>
      </c>
      <c r="I67" s="35"/>
      <c r="J67" s="35"/>
      <c r="K67" s="37"/>
    </row>
    <row r="68">
      <c r="A68" s="35" t="s">
        <v>48</v>
      </c>
      <c r="B68" s="34" t="s">
        <v>48</v>
      </c>
      <c r="C68" s="35" t="s">
        <v>48</v>
      </c>
      <c r="D68" s="35" t="s">
        <v>48</v>
      </c>
      <c r="E68" s="34" t="s">
        <v>48</v>
      </c>
      <c r="F68" s="35" t="n">
        <v>1.0</v>
      </c>
      <c r="G68" s="34" t="s">
        <v>81</v>
      </c>
      <c r="H68" s="34" t="s">
        <v>48</v>
      </c>
      <c r="I68" s="35"/>
      <c r="J68" s="35"/>
      <c r="K68" s="37"/>
    </row>
    <row r="69">
      <c r="A69" s="35" t="s">
        <v>48</v>
      </c>
      <c r="B69" s="34" t="s">
        <v>48</v>
      </c>
      <c r="C69" s="35" t="s">
        <v>48</v>
      </c>
      <c r="D69" s="35" t="s">
        <v>48</v>
      </c>
      <c r="E69" s="34" t="s">
        <v>48</v>
      </c>
      <c r="F69" s="35" t="n">
        <v>2.0</v>
      </c>
      <c r="G69" s="34" t="s">
        <v>98</v>
      </c>
      <c r="H69" s="34" t="s">
        <v>48</v>
      </c>
      <c r="I69" s="35"/>
      <c r="J69" s="35"/>
      <c r="K69" s="37"/>
    </row>
    <row r="70">
      <c r="A70" s="35" t="s">
        <v>48</v>
      </c>
      <c r="B70" s="34" t="s">
        <v>48</v>
      </c>
      <c r="C70" s="35" t="s">
        <v>48</v>
      </c>
      <c r="D70" s="35" t="s">
        <v>48</v>
      </c>
      <c r="E70" s="34" t="s">
        <v>48</v>
      </c>
      <c r="F70" s="35" t="n">
        <v>3.0</v>
      </c>
      <c r="G70" s="34" t="s">
        <v>99</v>
      </c>
      <c r="H70" s="34" t="s">
        <v>48</v>
      </c>
      <c r="I70" s="35"/>
      <c r="J70" s="35"/>
      <c r="K70" s="37"/>
    </row>
    <row r="71">
      <c r="A71" s="35" t="s">
        <v>48</v>
      </c>
      <c r="B71" s="34" t="s">
        <v>48</v>
      </c>
      <c r="C71" s="35" t="s">
        <v>48</v>
      </c>
      <c r="D71" s="35" t="s">
        <v>45</v>
      </c>
      <c r="E71" s="34" t="s">
        <v>100</v>
      </c>
      <c r="F71" s="35" t="s">
        <v>48</v>
      </c>
      <c r="G71" s="34" t="s">
        <v>48</v>
      </c>
      <c r="H71" s="34" t="s">
        <v>48</v>
      </c>
      <c r="I71" s="35" t="n">
        <v>3.0</v>
      </c>
      <c r="J71" s="35"/>
      <c r="K71" s="37" t="n">
        <v>0.75</v>
      </c>
    </row>
    <row r="72">
      <c r="A72" s="35" t="s">
        <v>48</v>
      </c>
      <c r="B72" s="34" t="s">
        <v>48</v>
      </c>
      <c r="C72" s="35" t="s">
        <v>48</v>
      </c>
      <c r="D72" s="35" t="s">
        <v>48</v>
      </c>
      <c r="E72" s="34" t="s">
        <v>48</v>
      </c>
      <c r="F72" s="35" t="n">
        <v>0.0</v>
      </c>
      <c r="G72" s="34" t="s">
        <v>101</v>
      </c>
      <c r="H72" s="34" t="s">
        <v>48</v>
      </c>
      <c r="I72" s="35"/>
      <c r="J72" s="35"/>
      <c r="K72" s="37"/>
    </row>
    <row r="73">
      <c r="A73" s="35" t="s">
        <v>48</v>
      </c>
      <c r="B73" s="34" t="s">
        <v>48</v>
      </c>
      <c r="C73" s="35" t="s">
        <v>48</v>
      </c>
      <c r="D73" s="35" t="s">
        <v>48</v>
      </c>
      <c r="E73" s="34" t="s">
        <v>48</v>
      </c>
      <c r="F73" s="35" t="n">
        <v>1.0</v>
      </c>
      <c r="G73" s="34" t="s">
        <v>102</v>
      </c>
      <c r="H73" s="34" t="s">
        <v>48</v>
      </c>
      <c r="I73" s="35"/>
      <c r="J73" s="35"/>
      <c r="K73" s="37"/>
    </row>
    <row r="74">
      <c r="A74" s="35" t="s">
        <v>48</v>
      </c>
      <c r="B74" s="34" t="s">
        <v>48</v>
      </c>
      <c r="C74" s="35" t="s">
        <v>48</v>
      </c>
      <c r="D74" s="35" t="s">
        <v>48</v>
      </c>
      <c r="E74" s="34" t="s">
        <v>48</v>
      </c>
      <c r="F74" s="35" t="n">
        <v>2.0</v>
      </c>
      <c r="G74" s="34" t="s">
        <v>103</v>
      </c>
      <c r="H74" s="34" t="s">
        <v>48</v>
      </c>
      <c r="I74" s="35"/>
      <c r="J74" s="35"/>
      <c r="K74" s="37"/>
    </row>
    <row r="75">
      <c r="A75" s="35" t="s">
        <v>48</v>
      </c>
      <c r="B75" s="34" t="s">
        <v>48</v>
      </c>
      <c r="C75" s="35" t="s">
        <v>48</v>
      </c>
      <c r="D75" s="35" t="s">
        <v>48</v>
      </c>
      <c r="E75" s="34" t="s">
        <v>48</v>
      </c>
      <c r="F75" s="35" t="n">
        <v>3.0</v>
      </c>
      <c r="G75" s="34" t="s">
        <v>104</v>
      </c>
      <c r="H75" s="34" t="s">
        <v>48</v>
      </c>
      <c r="I75" s="35"/>
      <c r="J75" s="35"/>
      <c r="K75" s="37"/>
    </row>
    <row r="76">
      <c r="A76" s="35" t="s">
        <v>105</v>
      </c>
      <c r="B76" s="34" t="s">
        <v>106</v>
      </c>
      <c r="C76" s="35" t="s">
        <v>49</v>
      </c>
      <c r="D76" s="34" t="s">
        <v>48</v>
      </c>
      <c r="E76" s="34" t="s">
        <v>48</v>
      </c>
      <c r="F76" s="34" t="s">
        <v>48</v>
      </c>
      <c r="G76" s="34" t="s">
        <v>48</v>
      </c>
      <c r="H76" s="34" t="s">
        <v>48</v>
      </c>
      <c r="I76" s="34" t="s">
        <v>48</v>
      </c>
      <c r="J76" s="34" t="s">
        <v>48</v>
      </c>
      <c r="K76" s="34" t="s">
        <v>48</v>
      </c>
    </row>
    <row r="77">
      <c r="A77" s="35" t="s">
        <v>48</v>
      </c>
      <c r="B77" s="34" t="s">
        <v>48</v>
      </c>
      <c r="C77" s="35" t="s">
        <v>48</v>
      </c>
      <c r="D77" s="35" t="s">
        <v>52</v>
      </c>
      <c r="E77" s="34" t="s">
        <v>107</v>
      </c>
      <c r="F77" s="35" t="s">
        <v>48</v>
      </c>
      <c r="G77" s="34" t="s">
        <v>108</v>
      </c>
      <c r="H77" s="34" t="s">
        <v>48</v>
      </c>
      <c r="I77" s="35" t="n">
        <v>3.0</v>
      </c>
      <c r="J77" s="35" t="n">
        <v>1.0</v>
      </c>
      <c r="K77" s="37" t="n">
        <v>0.5</v>
      </c>
    </row>
    <row r="78">
      <c r="A78" s="35" t="s">
        <v>48</v>
      </c>
      <c r="B78" s="34" t="s">
        <v>48</v>
      </c>
      <c r="C78" s="35" t="s">
        <v>48</v>
      </c>
      <c r="D78" s="35" t="s">
        <v>52</v>
      </c>
      <c r="E78" s="34" t="s">
        <v>109</v>
      </c>
      <c r="F78" s="35" t="s">
        <v>48</v>
      </c>
      <c r="G78" s="34" t="s">
        <v>110</v>
      </c>
      <c r="H78" s="34" t="s">
        <v>48</v>
      </c>
      <c r="I78" s="35" t="n">
        <v>3.0</v>
      </c>
      <c r="J78" s="35" t="n">
        <v>1.0</v>
      </c>
      <c r="K78" s="37" t="n">
        <v>0.25</v>
      </c>
    </row>
    <row r="79">
      <c r="A79" s="35" t="s">
        <v>48</v>
      </c>
      <c r="B79" s="34" t="s">
        <v>48</v>
      </c>
      <c r="C79" s="35" t="s">
        <v>48</v>
      </c>
      <c r="D79" s="35" t="s">
        <v>45</v>
      </c>
      <c r="E79" s="34" t="s">
        <v>111</v>
      </c>
      <c r="F79" s="35" t="s">
        <v>48</v>
      </c>
      <c r="G79" s="34" t="s">
        <v>48</v>
      </c>
      <c r="H79" s="34" t="s">
        <v>48</v>
      </c>
      <c r="I79" s="35" t="n">
        <v>3.0</v>
      </c>
      <c r="J79" s="35"/>
      <c r="K79" s="37" t="n">
        <v>1.25</v>
      </c>
    </row>
    <row r="80">
      <c r="A80" s="35" t="s">
        <v>48</v>
      </c>
      <c r="B80" s="34" t="s">
        <v>48</v>
      </c>
      <c r="C80" s="35" t="s">
        <v>48</v>
      </c>
      <c r="D80" s="35" t="s">
        <v>48</v>
      </c>
      <c r="E80" s="34" t="s">
        <v>48</v>
      </c>
      <c r="F80" s="35" t="n">
        <v>0.0</v>
      </c>
      <c r="G80" s="34" t="s">
        <v>58</v>
      </c>
      <c r="H80" s="34" t="s">
        <v>48</v>
      </c>
      <c r="I80" s="35"/>
      <c r="J80" s="35"/>
      <c r="K80" s="37"/>
    </row>
    <row r="81">
      <c r="A81" s="35" t="s">
        <v>48</v>
      </c>
      <c r="B81" s="34" t="s">
        <v>48</v>
      </c>
      <c r="C81" s="35" t="s">
        <v>48</v>
      </c>
      <c r="D81" s="35" t="s">
        <v>48</v>
      </c>
      <c r="E81" s="34" t="s">
        <v>48</v>
      </c>
      <c r="F81" s="35" t="n">
        <v>1.0</v>
      </c>
      <c r="G81" s="34" t="s">
        <v>81</v>
      </c>
      <c r="H81" s="34" t="s">
        <v>48</v>
      </c>
      <c r="I81" s="35"/>
      <c r="J81" s="35"/>
      <c r="K81" s="37"/>
    </row>
    <row r="82">
      <c r="A82" s="35" t="s">
        <v>48</v>
      </c>
      <c r="B82" s="34" t="s">
        <v>48</v>
      </c>
      <c r="C82" s="35" t="s">
        <v>48</v>
      </c>
      <c r="D82" s="35" t="s">
        <v>48</v>
      </c>
      <c r="E82" s="34" t="s">
        <v>48</v>
      </c>
      <c r="F82" s="35" t="n">
        <v>2.0</v>
      </c>
      <c r="G82" s="34" t="s">
        <v>98</v>
      </c>
      <c r="H82" s="34" t="s">
        <v>48</v>
      </c>
      <c r="I82" s="35"/>
      <c r="J82" s="35"/>
      <c r="K82" s="37"/>
    </row>
    <row r="83">
      <c r="A83" s="35" t="s">
        <v>48</v>
      </c>
      <c r="B83" s="34" t="s">
        <v>48</v>
      </c>
      <c r="C83" s="35" t="s">
        <v>48</v>
      </c>
      <c r="D83" s="35" t="s">
        <v>48</v>
      </c>
      <c r="E83" s="34" t="s">
        <v>48</v>
      </c>
      <c r="F83" s="35" t="n">
        <v>3.0</v>
      </c>
      <c r="G83" s="34" t="s">
        <v>112</v>
      </c>
      <c r="H83" s="34" t="s">
        <v>48</v>
      </c>
      <c r="I83" s="35"/>
      <c r="J83" s="35"/>
      <c r="K83" s="37"/>
    </row>
    <row r="84">
      <c r="A84" s="35" t="s">
        <v>113</v>
      </c>
      <c r="B84" s="34" t="s">
        <v>114</v>
      </c>
      <c r="C84" s="35" t="s">
        <v>49</v>
      </c>
      <c r="D84" s="34" t="s">
        <v>48</v>
      </c>
      <c r="E84" s="34" t="s">
        <v>48</v>
      </c>
      <c r="F84" s="34" t="s">
        <v>48</v>
      </c>
      <c r="G84" s="34" t="s">
        <v>48</v>
      </c>
      <c r="H84" s="34" t="s">
        <v>48</v>
      </c>
      <c r="I84" s="34" t="s">
        <v>48</v>
      </c>
      <c r="J84" s="34" t="s">
        <v>48</v>
      </c>
      <c r="K84" s="34" t="s">
        <v>48</v>
      </c>
    </row>
    <row r="85">
      <c r="A85" s="35" t="s">
        <v>48</v>
      </c>
      <c r="B85" s="34" t="s">
        <v>48</v>
      </c>
      <c r="C85" s="35" t="s">
        <v>48</v>
      </c>
      <c r="D85" s="35" t="s">
        <v>52</v>
      </c>
      <c r="E85" s="34" t="s">
        <v>117</v>
      </c>
      <c r="F85" s="35" t="s">
        <v>48</v>
      </c>
      <c r="G85" s="34" t="s">
        <v>48</v>
      </c>
      <c r="H85" s="34" t="s">
        <v>48</v>
      </c>
      <c r="I85" s="35" t="n">
        <v>3.0</v>
      </c>
      <c r="J85" s="35" t="n">
        <v>2.0</v>
      </c>
      <c r="K85" s="37" t="n">
        <v>1.5</v>
      </c>
    </row>
    <row r="86">
      <c r="A86" s="35" t="s">
        <v>48</v>
      </c>
      <c r="B86" s="34" t="s">
        <v>48</v>
      </c>
      <c r="C86" s="35" t="s">
        <v>48</v>
      </c>
      <c r="D86" s="35" t="s">
        <v>52</v>
      </c>
      <c r="E86" s="34" t="s">
        <v>119</v>
      </c>
      <c r="F86" s="35" t="s">
        <v>48</v>
      </c>
      <c r="G86" s="34" t="s">
        <v>48</v>
      </c>
      <c r="H86" s="34" t="s">
        <v>48</v>
      </c>
      <c r="I86" s="35" t="n">
        <v>3.0</v>
      </c>
      <c r="J86" s="35" t="n">
        <v>3.0</v>
      </c>
      <c r="K86" s="37" t="n">
        <v>0.75</v>
      </c>
    </row>
    <row r="87">
      <c r="A87" s="35" t="s">
        <v>48</v>
      </c>
      <c r="B87" s="34" t="s">
        <v>48</v>
      </c>
      <c r="C87" s="35" t="s">
        <v>48</v>
      </c>
      <c r="D87" s="35" t="s">
        <v>52</v>
      </c>
      <c r="E87" s="34" t="s">
        <v>121</v>
      </c>
      <c r="F87" s="35" t="s">
        <v>48</v>
      </c>
      <c r="G87" s="34" t="s">
        <v>48</v>
      </c>
      <c r="H87" s="34" t="s">
        <v>48</v>
      </c>
      <c r="I87" s="35" t="n">
        <v>3.0</v>
      </c>
      <c r="J87" s="35" t="n">
        <v>4.0</v>
      </c>
      <c r="K87" s="37" t="n">
        <v>0.75</v>
      </c>
    </row>
    <row r="88">
      <c r="A88" s="35" t="s">
        <v>48</v>
      </c>
      <c r="B88" s="34" t="s">
        <v>48</v>
      </c>
      <c r="C88" s="35" t="s">
        <v>48</v>
      </c>
      <c r="D88" s="35" t="s">
        <v>52</v>
      </c>
      <c r="E88" s="34" t="s">
        <v>122</v>
      </c>
      <c r="F88" s="35" t="s">
        <v>48</v>
      </c>
      <c r="G88" s="34" t="s">
        <v>48</v>
      </c>
      <c r="H88" s="34" t="s">
        <v>48</v>
      </c>
      <c r="I88" s="35" t="n">
        <v>1.0</v>
      </c>
      <c r="J88" s="35" t="n">
        <v>1.0</v>
      </c>
      <c r="K88" s="37" t="n">
        <v>1.0</v>
      </c>
    </row>
    <row r="89">
      <c r="A89" s="35" t="s">
        <v>48</v>
      </c>
      <c r="B89" s="34" t="s">
        <v>48</v>
      </c>
      <c r="C89" s="35" t="s">
        <v>48</v>
      </c>
      <c r="D89" s="35" t="s">
        <v>45</v>
      </c>
      <c r="E89" s="34" t="s">
        <v>123</v>
      </c>
      <c r="F89" s="35" t="s">
        <v>48</v>
      </c>
      <c r="G89" s="34" t="s">
        <v>48</v>
      </c>
      <c r="H89" s="34" t="s">
        <v>48</v>
      </c>
      <c r="I89" s="35" t="n">
        <v>3.0</v>
      </c>
      <c r="J89" s="35"/>
      <c r="K89" s="37" t="n">
        <v>1.0</v>
      </c>
    </row>
    <row r="90">
      <c r="A90" s="35" t="s">
        <v>48</v>
      </c>
      <c r="B90" s="34" t="s">
        <v>48</v>
      </c>
      <c r="C90" s="35" t="s">
        <v>48</v>
      </c>
      <c r="D90" s="35" t="s">
        <v>48</v>
      </c>
      <c r="E90" s="34" t="s">
        <v>48</v>
      </c>
      <c r="F90" s="35" t="n">
        <v>0.0</v>
      </c>
      <c r="G90" s="34" t="s">
        <v>124</v>
      </c>
      <c r="H90" s="34" t="s">
        <v>48</v>
      </c>
      <c r="I90" s="35"/>
      <c r="J90" s="35"/>
      <c r="K90" s="37"/>
    </row>
    <row r="91">
      <c r="A91" s="35" t="s">
        <v>48</v>
      </c>
      <c r="B91" s="34" t="s">
        <v>48</v>
      </c>
      <c r="C91" s="35" t="s">
        <v>48</v>
      </c>
      <c r="D91" s="35" t="s">
        <v>48</v>
      </c>
      <c r="E91" s="34" t="s">
        <v>48</v>
      </c>
      <c r="F91" s="35" t="n">
        <v>1.0</v>
      </c>
      <c r="G91" s="34" t="s">
        <v>125</v>
      </c>
      <c r="H91" s="34" t="s">
        <v>48</v>
      </c>
      <c r="I91" s="35"/>
      <c r="J91" s="35"/>
      <c r="K91" s="37"/>
    </row>
    <row r="92">
      <c r="A92" s="35" t="s">
        <v>48</v>
      </c>
      <c r="B92" s="34" t="s">
        <v>48</v>
      </c>
      <c r="C92" s="35" t="s">
        <v>48</v>
      </c>
      <c r="D92" s="35" t="s">
        <v>48</v>
      </c>
      <c r="E92" s="34" t="s">
        <v>48</v>
      </c>
      <c r="F92" s="35" t="n">
        <v>2.0</v>
      </c>
      <c r="G92" s="34" t="s">
        <v>126</v>
      </c>
      <c r="H92" s="34" t="s">
        <v>48</v>
      </c>
      <c r="I92" s="35"/>
      <c r="J92" s="35"/>
      <c r="K92" s="37"/>
    </row>
    <row r="93">
      <c r="A93" s="35" t="s">
        <v>48</v>
      </c>
      <c r="B93" s="34" t="s">
        <v>48</v>
      </c>
      <c r="C93" s="35" t="s">
        <v>48</v>
      </c>
      <c r="D93" s="35" t="s">
        <v>48</v>
      </c>
      <c r="E93" s="34" t="s">
        <v>48</v>
      </c>
      <c r="F93" s="35" t="n">
        <v>3.0</v>
      </c>
      <c r="G93" s="34" t="s">
        <v>127</v>
      </c>
      <c r="H93" s="34" t="s">
        <v>48</v>
      </c>
      <c r="I93" s="35"/>
      <c r="J93" s="35"/>
      <c r="K93" s="37"/>
    </row>
    <row r="94">
      <c r="A94" s="35" t="s">
        <v>48</v>
      </c>
      <c r="B94" s="34" t="s">
        <v>48</v>
      </c>
      <c r="C94" s="35" t="s">
        <v>48</v>
      </c>
      <c r="D94" s="35" t="s">
        <v>48</v>
      </c>
      <c r="E94" s="34" t="s">
        <v>48</v>
      </c>
      <c r="F94" s="35" t="s">
        <v>48</v>
      </c>
      <c r="G94" s="34" t="s">
        <v>48</v>
      </c>
      <c r="H94" s="34" t="s">
        <v>48</v>
      </c>
      <c r="I94" s="35"/>
      <c r="J94" s="35"/>
      <c r="K94" s="37"/>
    </row>
    <row r="95">
      <c r="A95" s="35" t="s">
        <v>48</v>
      </c>
      <c r="B95" s="34" t="s">
        <v>48</v>
      </c>
      <c r="C95" s="35" t="s">
        <v>48</v>
      </c>
      <c r="D95" s="35" t="s">
        <v>48</v>
      </c>
      <c r="E95" s="34" t="s">
        <v>48</v>
      </c>
      <c r="F95" s="35" t="s">
        <v>48</v>
      </c>
      <c r="G95" s="34" t="s">
        <v>48</v>
      </c>
      <c r="H95" s="34" t="s">
        <v>48</v>
      </c>
      <c r="I95" s="35"/>
      <c r="J95" s="35"/>
      <c r="K95" s="37"/>
    </row>
    <row r="96">
      <c r="A96" s="44" t="s">
        <v>15</v>
      </c>
      <c r="B96" s="45" t="s">
        <v>16</v>
      </c>
      <c r="C96" s="46" t="s">
        <v>10</v>
      </c>
      <c r="D96" s="47" t="s">
        <v>6</v>
      </c>
      <c r="E96" s="48" t="s">
        <v>1</v>
      </c>
      <c r="F96" s="49" t="s">
        <v>2</v>
      </c>
      <c r="G96" s="50" t="s">
        <v>8</v>
      </c>
      <c r="H96" s="51" t="s">
        <v>9</v>
      </c>
      <c r="I96" s="52" t="s">
        <v>23</v>
      </c>
      <c r="J96" s="53" t="s">
        <v>11</v>
      </c>
      <c r="K96" s="54" t="s">
        <v>3</v>
      </c>
      <c r="L96" s="55" t="s">
        <v>128</v>
      </c>
      <c r="M96" s="56" t="s">
        <v>4</v>
      </c>
      <c r="N96" s="57">
        <f>SUM(K97:K171)</f>
      </c>
    </row>
    <row r="97">
      <c r="A97" s="35" t="s">
        <v>129</v>
      </c>
      <c r="B97" s="34" t="s">
        <v>130</v>
      </c>
      <c r="C97" s="35" t="s">
        <v>49</v>
      </c>
      <c r="D97" s="34" t="s">
        <v>48</v>
      </c>
      <c r="E97" s="34" t="s">
        <v>48</v>
      </c>
      <c r="F97" s="34" t="s">
        <v>48</v>
      </c>
      <c r="G97" s="34" t="s">
        <v>48</v>
      </c>
      <c r="H97" s="34" t="s">
        <v>48</v>
      </c>
      <c r="I97" s="34" t="s">
        <v>48</v>
      </c>
      <c r="J97" s="34" t="s">
        <v>48</v>
      </c>
      <c r="K97" s="34" t="s">
        <v>48</v>
      </c>
    </row>
    <row r="98">
      <c r="A98" s="35" t="s">
        <v>48</v>
      </c>
      <c r="B98" s="34" t="s">
        <v>48</v>
      </c>
      <c r="C98" s="35" t="s">
        <v>48</v>
      </c>
      <c r="D98" s="35" t="s">
        <v>52</v>
      </c>
      <c r="E98" s="34" t="s">
        <v>131</v>
      </c>
      <c r="F98" s="35" t="s">
        <v>48</v>
      </c>
      <c r="G98" s="34" t="s">
        <v>132</v>
      </c>
      <c r="H98" s="34" t="s">
        <v>48</v>
      </c>
      <c r="I98" s="35" t="n">
        <v>5.0</v>
      </c>
      <c r="J98" s="35" t="n">
        <v>1.0</v>
      </c>
      <c r="K98" s="37" t="n">
        <v>0.5</v>
      </c>
    </row>
    <row r="99">
      <c r="A99" s="35" t="s">
        <v>48</v>
      </c>
      <c r="B99" s="34" t="s">
        <v>48</v>
      </c>
      <c r="C99" s="35" t="s">
        <v>48</v>
      </c>
      <c r="D99" s="35" t="s">
        <v>52</v>
      </c>
      <c r="E99" s="34" t="s">
        <v>133</v>
      </c>
      <c r="F99" s="35" t="s">
        <v>48</v>
      </c>
      <c r="G99" s="34" t="s">
        <v>134</v>
      </c>
      <c r="H99" s="34" t="s">
        <v>48</v>
      </c>
      <c r="I99" s="35" t="n">
        <v>3.0</v>
      </c>
      <c r="J99" s="35" t="n">
        <v>1.0</v>
      </c>
      <c r="K99" s="37" t="n">
        <v>0.25</v>
      </c>
    </row>
    <row r="100">
      <c r="A100" s="35" t="s">
        <v>48</v>
      </c>
      <c r="B100" s="34" t="s">
        <v>48</v>
      </c>
      <c r="C100" s="35" t="s">
        <v>48</v>
      </c>
      <c r="D100" s="35" t="s">
        <v>52</v>
      </c>
      <c r="E100" s="34" t="s">
        <v>135</v>
      </c>
      <c r="F100" s="35" t="s">
        <v>48</v>
      </c>
      <c r="G100" s="34" t="s">
        <v>136</v>
      </c>
      <c r="H100" s="34" t="s">
        <v>48</v>
      </c>
      <c r="I100" s="35" t="n">
        <v>3.0</v>
      </c>
      <c r="J100" s="35" t="n">
        <v>1.0</v>
      </c>
      <c r="K100" s="37" t="n">
        <v>0.15</v>
      </c>
    </row>
    <row r="101">
      <c r="A101" s="35" t="s">
        <v>48</v>
      </c>
      <c r="B101" s="34" t="s">
        <v>48</v>
      </c>
      <c r="C101" s="35" t="s">
        <v>48</v>
      </c>
      <c r="D101" s="35" t="s">
        <v>52</v>
      </c>
      <c r="E101" s="34" t="s">
        <v>137</v>
      </c>
      <c r="F101" s="35" t="s">
        <v>48</v>
      </c>
      <c r="G101" s="34" t="s">
        <v>138</v>
      </c>
      <c r="H101" s="34" t="s">
        <v>48</v>
      </c>
      <c r="I101" s="35" t="n">
        <v>3.0</v>
      </c>
      <c r="J101" s="35" t="n">
        <v>1.0</v>
      </c>
      <c r="K101" s="37" t="n">
        <v>0.1</v>
      </c>
    </row>
    <row r="102">
      <c r="A102" s="35" t="s">
        <v>48</v>
      </c>
      <c r="B102" s="34" t="s">
        <v>48</v>
      </c>
      <c r="C102" s="35" t="s">
        <v>48</v>
      </c>
      <c r="D102" s="35" t="s">
        <v>52</v>
      </c>
      <c r="E102" s="34" t="s">
        <v>139</v>
      </c>
      <c r="F102" s="35" t="s">
        <v>48</v>
      </c>
      <c r="G102" s="34" t="s">
        <v>140</v>
      </c>
      <c r="H102" s="34" t="s">
        <v>48</v>
      </c>
      <c r="I102" s="35" t="n">
        <v>3.0</v>
      </c>
      <c r="J102" s="35" t="n">
        <v>1.0</v>
      </c>
      <c r="K102" s="37" t="n">
        <v>0.25</v>
      </c>
    </row>
    <row r="103">
      <c r="A103" s="35" t="s">
        <v>48</v>
      </c>
      <c r="B103" s="34" t="s">
        <v>48</v>
      </c>
      <c r="C103" s="35" t="s">
        <v>48</v>
      </c>
      <c r="D103" s="35" t="s">
        <v>52</v>
      </c>
      <c r="E103" s="34" t="s">
        <v>141</v>
      </c>
      <c r="F103" s="35" t="s">
        <v>48</v>
      </c>
      <c r="G103" s="34" t="s">
        <v>142</v>
      </c>
      <c r="H103" s="34" t="s">
        <v>48</v>
      </c>
      <c r="I103" s="35" t="n">
        <v>3.0</v>
      </c>
      <c r="J103" s="35" t="n">
        <v>1.0</v>
      </c>
      <c r="K103" s="37" t="n">
        <v>0.1</v>
      </c>
    </row>
    <row r="104">
      <c r="A104" s="35" t="s">
        <v>48</v>
      </c>
      <c r="B104" s="34" t="s">
        <v>48</v>
      </c>
      <c r="C104" s="35" t="s">
        <v>48</v>
      </c>
      <c r="D104" s="35" t="s">
        <v>52</v>
      </c>
      <c r="E104" s="34" t="s">
        <v>143</v>
      </c>
      <c r="F104" s="35" t="s">
        <v>48</v>
      </c>
      <c r="G104" s="34" t="s">
        <v>144</v>
      </c>
      <c r="H104" s="34" t="s">
        <v>48</v>
      </c>
      <c r="I104" s="35" t="n">
        <v>3.0</v>
      </c>
      <c r="J104" s="35" t="n">
        <v>1.0</v>
      </c>
      <c r="K104" s="37" t="n">
        <v>0.2</v>
      </c>
    </row>
    <row r="105">
      <c r="A105" s="35" t="s">
        <v>48</v>
      </c>
      <c r="B105" s="34" t="s">
        <v>48</v>
      </c>
      <c r="C105" s="35" t="s">
        <v>48</v>
      </c>
      <c r="D105" s="35" t="s">
        <v>52</v>
      </c>
      <c r="E105" s="34" t="s">
        <v>145</v>
      </c>
      <c r="F105" s="35" t="s">
        <v>48</v>
      </c>
      <c r="G105" s="34" t="s">
        <v>146</v>
      </c>
      <c r="H105" s="34" t="s">
        <v>48</v>
      </c>
      <c r="I105" s="35" t="n">
        <v>3.0</v>
      </c>
      <c r="J105" s="35" t="n">
        <v>1.0</v>
      </c>
      <c r="K105" s="37" t="n">
        <v>0.2</v>
      </c>
    </row>
    <row r="106">
      <c r="A106" s="35" t="s">
        <v>48</v>
      </c>
      <c r="B106" s="34" t="s">
        <v>48</v>
      </c>
      <c r="C106" s="35" t="s">
        <v>48</v>
      </c>
      <c r="D106" s="35" t="s">
        <v>52</v>
      </c>
      <c r="E106" s="34" t="s">
        <v>147</v>
      </c>
      <c r="F106" s="35" t="s">
        <v>48</v>
      </c>
      <c r="G106" s="34" t="s">
        <v>148</v>
      </c>
      <c r="H106" s="34" t="s">
        <v>48</v>
      </c>
      <c r="I106" s="35" t="n">
        <v>3.0</v>
      </c>
      <c r="J106" s="35" t="n">
        <v>1.0</v>
      </c>
      <c r="K106" s="37" t="n">
        <v>0.1</v>
      </c>
    </row>
    <row r="107">
      <c r="A107" s="35" t="s">
        <v>48</v>
      </c>
      <c r="B107" s="34" t="s">
        <v>48</v>
      </c>
      <c r="C107" s="35" t="s">
        <v>48</v>
      </c>
      <c r="D107" s="35" t="s">
        <v>52</v>
      </c>
      <c r="E107" s="34" t="s">
        <v>149</v>
      </c>
      <c r="F107" s="35" t="s">
        <v>48</v>
      </c>
      <c r="G107" s="34" t="s">
        <v>144</v>
      </c>
      <c r="H107" s="34" t="s">
        <v>48</v>
      </c>
      <c r="I107" s="35" t="n">
        <v>3.0</v>
      </c>
      <c r="J107" s="35" t="n">
        <v>1.0</v>
      </c>
      <c r="K107" s="37" t="n">
        <v>0.2</v>
      </c>
    </row>
    <row r="108">
      <c r="A108" s="35" t="s">
        <v>48</v>
      </c>
      <c r="B108" s="34" t="s">
        <v>48</v>
      </c>
      <c r="C108" s="35" t="s">
        <v>48</v>
      </c>
      <c r="D108" s="35" t="s">
        <v>52</v>
      </c>
      <c r="E108" s="34" t="s">
        <v>150</v>
      </c>
      <c r="F108" s="35" t="s">
        <v>48</v>
      </c>
      <c r="G108" s="34" t="s">
        <v>151</v>
      </c>
      <c r="H108" s="34" t="s">
        <v>48</v>
      </c>
      <c r="I108" s="35" t="n">
        <v>3.0</v>
      </c>
      <c r="J108" s="35" t="n">
        <v>1.0</v>
      </c>
      <c r="K108" s="37" t="n">
        <v>0.2</v>
      </c>
    </row>
    <row r="109">
      <c r="A109" s="35" t="s">
        <v>48</v>
      </c>
      <c r="B109" s="34" t="s">
        <v>48</v>
      </c>
      <c r="C109" s="35" t="s">
        <v>48</v>
      </c>
      <c r="D109" s="35" t="s">
        <v>45</v>
      </c>
      <c r="E109" s="34" t="s">
        <v>152</v>
      </c>
      <c r="F109" s="35" t="s">
        <v>48</v>
      </c>
      <c r="G109" s="34" t="s">
        <v>48</v>
      </c>
      <c r="H109" s="34" t="s">
        <v>48</v>
      </c>
      <c r="I109" s="35" t="n">
        <v>3.0</v>
      </c>
      <c r="J109" s="35"/>
      <c r="K109" s="37" t="n">
        <v>1.0</v>
      </c>
    </row>
    <row r="110">
      <c r="A110" s="35" t="s">
        <v>48</v>
      </c>
      <c r="B110" s="34" t="s">
        <v>48</v>
      </c>
      <c r="C110" s="35" t="s">
        <v>48</v>
      </c>
      <c r="D110" s="35" t="s">
        <v>48</v>
      </c>
      <c r="E110" s="34" t="s">
        <v>48</v>
      </c>
      <c r="F110" s="35" t="n">
        <v>0.0</v>
      </c>
      <c r="G110" s="34" t="s">
        <v>58</v>
      </c>
      <c r="H110" s="34" t="s">
        <v>48</v>
      </c>
      <c r="I110" s="35"/>
      <c r="J110" s="35"/>
      <c r="K110" s="37"/>
    </row>
    <row r="111">
      <c r="A111" s="35" t="s">
        <v>48</v>
      </c>
      <c r="B111" s="34" t="s">
        <v>48</v>
      </c>
      <c r="C111" s="35" t="s">
        <v>48</v>
      </c>
      <c r="D111" s="35" t="s">
        <v>48</v>
      </c>
      <c r="E111" s="34" t="s">
        <v>48</v>
      </c>
      <c r="F111" s="35" t="n">
        <v>1.0</v>
      </c>
      <c r="G111" s="34" t="s">
        <v>81</v>
      </c>
      <c r="H111" s="34" t="s">
        <v>48</v>
      </c>
      <c r="I111" s="35"/>
      <c r="J111" s="35"/>
      <c r="K111" s="37"/>
    </row>
    <row r="112">
      <c r="A112" s="35" t="s">
        <v>48</v>
      </c>
      <c r="B112" s="34" t="s">
        <v>48</v>
      </c>
      <c r="C112" s="35" t="s">
        <v>48</v>
      </c>
      <c r="D112" s="35" t="s">
        <v>48</v>
      </c>
      <c r="E112" s="34" t="s">
        <v>48</v>
      </c>
      <c r="F112" s="35" t="n">
        <v>2.0</v>
      </c>
      <c r="G112" s="34" t="s">
        <v>98</v>
      </c>
      <c r="H112" s="34" t="s">
        <v>48</v>
      </c>
      <c r="I112" s="35"/>
      <c r="J112" s="35"/>
      <c r="K112" s="37"/>
    </row>
    <row r="113">
      <c r="A113" s="35" t="s">
        <v>48</v>
      </c>
      <c r="B113" s="34" t="s">
        <v>48</v>
      </c>
      <c r="C113" s="35" t="s">
        <v>48</v>
      </c>
      <c r="D113" s="35" t="s">
        <v>48</v>
      </c>
      <c r="E113" s="34" t="s">
        <v>48</v>
      </c>
      <c r="F113" s="35" t="n">
        <v>3.0</v>
      </c>
      <c r="G113" s="34" t="s">
        <v>153</v>
      </c>
      <c r="H113" s="34" t="s">
        <v>48</v>
      </c>
      <c r="I113" s="35"/>
      <c r="J113" s="35"/>
      <c r="K113" s="37"/>
    </row>
    <row r="114">
      <c r="A114" s="35" t="s">
        <v>48</v>
      </c>
      <c r="B114" s="34" t="s">
        <v>48</v>
      </c>
      <c r="C114" s="35" t="s">
        <v>48</v>
      </c>
      <c r="D114" s="35" t="s">
        <v>45</v>
      </c>
      <c r="E114" s="34" t="s">
        <v>154</v>
      </c>
      <c r="F114" s="35" t="s">
        <v>48</v>
      </c>
      <c r="G114" s="34" t="s">
        <v>48</v>
      </c>
      <c r="H114" s="34" t="s">
        <v>48</v>
      </c>
      <c r="I114" s="35" t="n">
        <v>3.0</v>
      </c>
      <c r="J114" s="35"/>
      <c r="K114" s="37" t="n">
        <v>1.0</v>
      </c>
    </row>
    <row r="115">
      <c r="A115" s="35" t="s">
        <v>48</v>
      </c>
      <c r="B115" s="34" t="s">
        <v>48</v>
      </c>
      <c r="C115" s="35" t="s">
        <v>48</v>
      </c>
      <c r="D115" s="35" t="s">
        <v>48</v>
      </c>
      <c r="E115" s="34" t="s">
        <v>48</v>
      </c>
      <c r="F115" s="35" t="n">
        <v>0.0</v>
      </c>
      <c r="G115" s="34" t="s">
        <v>58</v>
      </c>
      <c r="H115" s="34" t="s">
        <v>48</v>
      </c>
      <c r="I115" s="35"/>
      <c r="J115" s="35"/>
      <c r="K115" s="37"/>
    </row>
    <row r="116">
      <c r="A116" s="35" t="s">
        <v>48</v>
      </c>
      <c r="B116" s="34" t="s">
        <v>48</v>
      </c>
      <c r="C116" s="35" t="s">
        <v>48</v>
      </c>
      <c r="D116" s="35" t="s">
        <v>48</v>
      </c>
      <c r="E116" s="34" t="s">
        <v>48</v>
      </c>
      <c r="F116" s="35" t="n">
        <v>1.0</v>
      </c>
      <c r="G116" s="34" t="s">
        <v>81</v>
      </c>
      <c r="H116" s="34" t="s">
        <v>48</v>
      </c>
      <c r="I116" s="35"/>
      <c r="J116" s="35"/>
      <c r="K116" s="37"/>
    </row>
    <row r="117">
      <c r="A117" s="35" t="s">
        <v>48</v>
      </c>
      <c r="B117" s="34" t="s">
        <v>48</v>
      </c>
      <c r="C117" s="35" t="s">
        <v>48</v>
      </c>
      <c r="D117" s="35" t="s">
        <v>48</v>
      </c>
      <c r="E117" s="34" t="s">
        <v>48</v>
      </c>
      <c r="F117" s="35" t="n">
        <v>2.0</v>
      </c>
      <c r="G117" s="34" t="s">
        <v>98</v>
      </c>
      <c r="H117" s="34" t="s">
        <v>48</v>
      </c>
      <c r="I117" s="35"/>
      <c r="J117" s="35"/>
      <c r="K117" s="37"/>
    </row>
    <row r="118">
      <c r="A118" s="35" t="s">
        <v>48</v>
      </c>
      <c r="B118" s="34" t="s">
        <v>48</v>
      </c>
      <c r="C118" s="35" t="s">
        <v>48</v>
      </c>
      <c r="D118" s="35" t="s">
        <v>48</v>
      </c>
      <c r="E118" s="34" t="s">
        <v>48</v>
      </c>
      <c r="F118" s="35" t="n">
        <v>3.0</v>
      </c>
      <c r="G118" s="34" t="s">
        <v>155</v>
      </c>
      <c r="H118" s="34" t="s">
        <v>48</v>
      </c>
      <c r="I118" s="35"/>
      <c r="J118" s="35"/>
      <c r="K118" s="37"/>
    </row>
    <row r="119">
      <c r="A119" s="35" t="s">
        <v>48</v>
      </c>
      <c r="B119" s="34" t="s">
        <v>48</v>
      </c>
      <c r="C119" s="35" t="s">
        <v>48</v>
      </c>
      <c r="D119" s="35" t="s">
        <v>45</v>
      </c>
      <c r="E119" s="34" t="s">
        <v>156</v>
      </c>
      <c r="F119" s="35" t="s">
        <v>48</v>
      </c>
      <c r="G119" s="34" t="s">
        <v>48</v>
      </c>
      <c r="H119" s="34" t="s">
        <v>48</v>
      </c>
      <c r="I119" s="35" t="n">
        <v>3.0</v>
      </c>
      <c r="J119" s="35"/>
      <c r="K119" s="37" t="n">
        <v>1.0</v>
      </c>
    </row>
    <row r="120">
      <c r="A120" s="35" t="s">
        <v>48</v>
      </c>
      <c r="B120" s="34" t="s">
        <v>48</v>
      </c>
      <c r="C120" s="35" t="s">
        <v>48</v>
      </c>
      <c r="D120" s="35" t="s">
        <v>48</v>
      </c>
      <c r="E120" s="34" t="s">
        <v>48</v>
      </c>
      <c r="F120" s="35" t="n">
        <v>0.0</v>
      </c>
      <c r="G120" s="34" t="s">
        <v>58</v>
      </c>
      <c r="H120" s="34" t="s">
        <v>48</v>
      </c>
      <c r="I120" s="35"/>
      <c r="J120" s="35"/>
      <c r="K120" s="37"/>
    </row>
    <row r="121">
      <c r="A121" s="35" t="s">
        <v>48</v>
      </c>
      <c r="B121" s="34" t="s">
        <v>48</v>
      </c>
      <c r="C121" s="35" t="s">
        <v>48</v>
      </c>
      <c r="D121" s="35" t="s">
        <v>48</v>
      </c>
      <c r="E121" s="34" t="s">
        <v>48</v>
      </c>
      <c r="F121" s="35" t="n">
        <v>1.0</v>
      </c>
      <c r="G121" s="34" t="s">
        <v>81</v>
      </c>
      <c r="H121" s="34" t="s">
        <v>48</v>
      </c>
      <c r="I121" s="35"/>
      <c r="J121" s="35"/>
      <c r="K121" s="37"/>
    </row>
    <row r="122">
      <c r="A122" s="35" t="s">
        <v>48</v>
      </c>
      <c r="B122" s="34" t="s">
        <v>48</v>
      </c>
      <c r="C122" s="35" t="s">
        <v>48</v>
      </c>
      <c r="D122" s="35" t="s">
        <v>48</v>
      </c>
      <c r="E122" s="34" t="s">
        <v>48</v>
      </c>
      <c r="F122" s="35" t="n">
        <v>2.0</v>
      </c>
      <c r="G122" s="34" t="s">
        <v>98</v>
      </c>
      <c r="H122" s="34" t="s">
        <v>48</v>
      </c>
      <c r="I122" s="35"/>
      <c r="J122" s="35"/>
      <c r="K122" s="37"/>
    </row>
    <row r="123">
      <c r="A123" s="35" t="s">
        <v>48</v>
      </c>
      <c r="B123" s="34" t="s">
        <v>48</v>
      </c>
      <c r="C123" s="35" t="s">
        <v>48</v>
      </c>
      <c r="D123" s="35" t="s">
        <v>48</v>
      </c>
      <c r="E123" s="34" t="s">
        <v>48</v>
      </c>
      <c r="F123" s="35" t="n">
        <v>3.0</v>
      </c>
      <c r="G123" s="34" t="s">
        <v>157</v>
      </c>
      <c r="H123" s="34" t="s">
        <v>48</v>
      </c>
      <c r="I123" s="35"/>
      <c r="J123" s="35"/>
      <c r="K123" s="37"/>
    </row>
    <row r="124">
      <c r="A124" s="35" t="s">
        <v>158</v>
      </c>
      <c r="B124" s="34" t="s">
        <v>159</v>
      </c>
      <c r="C124" s="35" t="s">
        <v>49</v>
      </c>
      <c r="D124" s="34" t="s">
        <v>48</v>
      </c>
      <c r="E124" s="34" t="s">
        <v>48</v>
      </c>
      <c r="F124" s="34" t="s">
        <v>48</v>
      </c>
      <c r="G124" s="34" t="s">
        <v>48</v>
      </c>
      <c r="H124" s="34" t="s">
        <v>48</v>
      </c>
      <c r="I124" s="34" t="s">
        <v>48</v>
      </c>
      <c r="J124" s="34" t="s">
        <v>48</v>
      </c>
      <c r="K124" s="34" t="s">
        <v>48</v>
      </c>
    </row>
    <row r="125">
      <c r="A125" s="35" t="s">
        <v>48</v>
      </c>
      <c r="B125" s="34" t="s">
        <v>48</v>
      </c>
      <c r="C125" s="35" t="s">
        <v>48</v>
      </c>
      <c r="D125" s="35" t="s">
        <v>52</v>
      </c>
      <c r="E125" s="34" t="s">
        <v>160</v>
      </c>
      <c r="F125" s="35" t="s">
        <v>48</v>
      </c>
      <c r="G125" s="34" t="s">
        <v>161</v>
      </c>
      <c r="H125" s="34" t="s">
        <v>48</v>
      </c>
      <c r="I125" s="35" t="n">
        <v>5.0</v>
      </c>
      <c r="J125" s="35" t="n">
        <v>1.0</v>
      </c>
      <c r="K125" s="37" t="n">
        <v>1.5</v>
      </c>
    </row>
    <row r="126">
      <c r="A126" s="35" t="s">
        <v>48</v>
      </c>
      <c r="B126" s="34" t="s">
        <v>48</v>
      </c>
      <c r="C126" s="35" t="s">
        <v>48</v>
      </c>
      <c r="D126" s="35" t="s">
        <v>52</v>
      </c>
      <c r="E126" s="34" t="s">
        <v>162</v>
      </c>
      <c r="F126" s="35" t="s">
        <v>48</v>
      </c>
      <c r="G126" s="34" t="s">
        <v>163</v>
      </c>
      <c r="H126" s="34" t="s">
        <v>48</v>
      </c>
      <c r="I126" s="35" t="n">
        <v>5.0</v>
      </c>
      <c r="J126" s="35" t="n">
        <v>1.0</v>
      </c>
      <c r="K126" s="37" t="n">
        <v>0.5</v>
      </c>
    </row>
    <row r="127">
      <c r="A127" s="35" t="s">
        <v>48</v>
      </c>
      <c r="B127" s="34" t="s">
        <v>48</v>
      </c>
      <c r="C127" s="35" t="s">
        <v>48</v>
      </c>
      <c r="D127" s="35" t="s">
        <v>52</v>
      </c>
      <c r="E127" s="34" t="s">
        <v>164</v>
      </c>
      <c r="F127" s="35" t="s">
        <v>48</v>
      </c>
      <c r="G127" s="34" t="s">
        <v>163</v>
      </c>
      <c r="H127" s="34" t="s">
        <v>48</v>
      </c>
      <c r="I127" s="35" t="n">
        <v>5.0</v>
      </c>
      <c r="J127" s="35" t="n">
        <v>1.0</v>
      </c>
      <c r="K127" s="37" t="n">
        <v>0.5</v>
      </c>
    </row>
    <row r="128">
      <c r="A128" s="35" t="s">
        <v>48</v>
      </c>
      <c r="B128" s="34" t="s">
        <v>48</v>
      </c>
      <c r="C128" s="35" t="s">
        <v>48</v>
      </c>
      <c r="D128" s="35" t="s">
        <v>52</v>
      </c>
      <c r="E128" s="34" t="s">
        <v>165</v>
      </c>
      <c r="F128" s="35" t="s">
        <v>48</v>
      </c>
      <c r="G128" s="34" t="s">
        <v>163</v>
      </c>
      <c r="H128" s="34" t="s">
        <v>48</v>
      </c>
      <c r="I128" s="35" t="n">
        <v>5.0</v>
      </c>
      <c r="J128" s="35" t="n">
        <v>1.0</v>
      </c>
      <c r="K128" s="37" t="n">
        <v>0.5</v>
      </c>
    </row>
    <row r="129">
      <c r="A129" s="35" t="s">
        <v>48</v>
      </c>
      <c r="B129" s="34" t="s">
        <v>48</v>
      </c>
      <c r="C129" s="35" t="s">
        <v>48</v>
      </c>
      <c r="D129" s="35" t="s">
        <v>52</v>
      </c>
      <c r="E129" s="34" t="s">
        <v>166</v>
      </c>
      <c r="F129" s="35" t="s">
        <v>48</v>
      </c>
      <c r="G129" s="34" t="s">
        <v>167</v>
      </c>
      <c r="H129" s="34" t="s">
        <v>48</v>
      </c>
      <c r="I129" s="35" t="n">
        <v>5.0</v>
      </c>
      <c r="J129" s="35" t="n">
        <v>1.0</v>
      </c>
      <c r="K129" s="37" t="n">
        <v>1.0</v>
      </c>
    </row>
    <row r="130">
      <c r="A130" s="35" t="s">
        <v>48</v>
      </c>
      <c r="B130" s="34" t="s">
        <v>48</v>
      </c>
      <c r="C130" s="35" t="s">
        <v>48</v>
      </c>
      <c r="D130" s="35" t="s">
        <v>52</v>
      </c>
      <c r="E130" s="34" t="s">
        <v>168</v>
      </c>
      <c r="F130" s="35" t="s">
        <v>48</v>
      </c>
      <c r="G130" s="34" t="s">
        <v>169</v>
      </c>
      <c r="H130" s="34" t="s">
        <v>48</v>
      </c>
      <c r="I130" s="35" t="n">
        <v>5.0</v>
      </c>
      <c r="J130" s="35" t="n">
        <v>1.0</v>
      </c>
      <c r="K130" s="37" t="n">
        <v>1.0</v>
      </c>
    </row>
    <row r="131">
      <c r="A131" s="35" t="s">
        <v>170</v>
      </c>
      <c r="B131" s="34" t="s">
        <v>171</v>
      </c>
      <c r="C131" s="35" t="s">
        <v>49</v>
      </c>
      <c r="D131" s="34" t="s">
        <v>48</v>
      </c>
      <c r="E131" s="34" t="s">
        <v>48</v>
      </c>
      <c r="F131" s="34" t="s">
        <v>48</v>
      </c>
      <c r="G131" s="34" t="s">
        <v>48</v>
      </c>
      <c r="H131" s="34" t="s">
        <v>48</v>
      </c>
      <c r="I131" s="34" t="s">
        <v>48</v>
      </c>
      <c r="J131" s="34" t="s">
        <v>48</v>
      </c>
      <c r="K131" s="34" t="s">
        <v>48</v>
      </c>
    </row>
    <row r="132">
      <c r="A132" s="35" t="s">
        <v>48</v>
      </c>
      <c r="B132" s="34" t="s">
        <v>48</v>
      </c>
      <c r="C132" s="35" t="s">
        <v>48</v>
      </c>
      <c r="D132" s="35" t="s">
        <v>52</v>
      </c>
      <c r="E132" s="34" t="s">
        <v>173</v>
      </c>
      <c r="F132" s="35" t="s">
        <v>48</v>
      </c>
      <c r="G132" s="34" t="s">
        <v>48</v>
      </c>
      <c r="H132" s="34" t="s">
        <v>48</v>
      </c>
      <c r="I132" s="35" t="n">
        <v>5.0</v>
      </c>
      <c r="J132" s="35" t="n">
        <v>5.0</v>
      </c>
      <c r="K132" s="37" t="n">
        <v>1.5</v>
      </c>
    </row>
    <row r="133">
      <c r="A133" s="35" t="s">
        <v>48</v>
      </c>
      <c r="B133" s="34" t="s">
        <v>48</v>
      </c>
      <c r="C133" s="35" t="s">
        <v>48</v>
      </c>
      <c r="D133" s="35" t="s">
        <v>45</v>
      </c>
      <c r="E133" s="34" t="s">
        <v>174</v>
      </c>
      <c r="F133" s="35" t="s">
        <v>48</v>
      </c>
      <c r="G133" s="34" t="s">
        <v>48</v>
      </c>
      <c r="H133" s="34" t="s">
        <v>48</v>
      </c>
      <c r="I133" s="35" t="n">
        <v>5.0</v>
      </c>
      <c r="J133" s="35"/>
      <c r="K133" s="37" t="n">
        <v>1.0</v>
      </c>
    </row>
    <row r="134">
      <c r="A134" s="35" t="s">
        <v>48</v>
      </c>
      <c r="B134" s="34" t="s">
        <v>48</v>
      </c>
      <c r="C134" s="35" t="s">
        <v>48</v>
      </c>
      <c r="D134" s="35" t="s">
        <v>48</v>
      </c>
      <c r="E134" s="34" t="s">
        <v>48</v>
      </c>
      <c r="F134" s="35" t="n">
        <v>0.0</v>
      </c>
      <c r="G134" s="34" t="s">
        <v>175</v>
      </c>
      <c r="H134" s="34" t="s">
        <v>48</v>
      </c>
      <c r="I134" s="35"/>
      <c r="J134" s="35"/>
      <c r="K134" s="37"/>
    </row>
    <row r="135">
      <c r="A135" s="35" t="s">
        <v>48</v>
      </c>
      <c r="B135" s="34" t="s">
        <v>48</v>
      </c>
      <c r="C135" s="35" t="s">
        <v>48</v>
      </c>
      <c r="D135" s="35" t="s">
        <v>48</v>
      </c>
      <c r="E135" s="34" t="s">
        <v>48</v>
      </c>
      <c r="F135" s="35" t="n">
        <v>1.0</v>
      </c>
      <c r="G135" s="34" t="s">
        <v>176</v>
      </c>
      <c r="H135" s="34" t="s">
        <v>48</v>
      </c>
      <c r="I135" s="35"/>
      <c r="J135" s="35"/>
      <c r="K135" s="37"/>
    </row>
    <row r="136">
      <c r="A136" s="35" t="s">
        <v>48</v>
      </c>
      <c r="B136" s="34" t="s">
        <v>48</v>
      </c>
      <c r="C136" s="35" t="s">
        <v>48</v>
      </c>
      <c r="D136" s="35" t="s">
        <v>48</v>
      </c>
      <c r="E136" s="34" t="s">
        <v>48</v>
      </c>
      <c r="F136" s="35" t="n">
        <v>2.0</v>
      </c>
      <c r="G136" s="34" t="s">
        <v>177</v>
      </c>
      <c r="H136" s="34" t="s">
        <v>48</v>
      </c>
      <c r="I136" s="35"/>
      <c r="J136" s="35"/>
      <c r="K136" s="37"/>
    </row>
    <row r="137">
      <c r="A137" s="35" t="s">
        <v>48</v>
      </c>
      <c r="B137" s="34" t="s">
        <v>48</v>
      </c>
      <c r="C137" s="35" t="s">
        <v>48</v>
      </c>
      <c r="D137" s="35" t="s">
        <v>48</v>
      </c>
      <c r="E137" s="34" t="s">
        <v>48</v>
      </c>
      <c r="F137" s="35" t="n">
        <v>3.0</v>
      </c>
      <c r="G137" s="34" t="s">
        <v>178</v>
      </c>
      <c r="H137" s="34" t="s">
        <v>48</v>
      </c>
      <c r="I137" s="35"/>
      <c r="J137" s="35"/>
      <c r="K137" s="37"/>
    </row>
    <row r="138">
      <c r="A138" s="35" t="s">
        <v>48</v>
      </c>
      <c r="B138" s="34" t="s">
        <v>48</v>
      </c>
      <c r="C138" s="35" t="s">
        <v>48</v>
      </c>
      <c r="D138" s="35" t="s">
        <v>45</v>
      </c>
      <c r="E138" s="34" t="s">
        <v>179</v>
      </c>
      <c r="F138" s="35" t="s">
        <v>48</v>
      </c>
      <c r="G138" s="34" t="s">
        <v>48</v>
      </c>
      <c r="H138" s="34" t="s">
        <v>48</v>
      </c>
      <c r="I138" s="35" t="n">
        <v>5.0</v>
      </c>
      <c r="J138" s="35"/>
      <c r="K138" s="37" t="n">
        <v>1.0</v>
      </c>
    </row>
    <row r="139">
      <c r="A139" s="35" t="s">
        <v>48</v>
      </c>
      <c r="B139" s="34" t="s">
        <v>48</v>
      </c>
      <c r="C139" s="35" t="s">
        <v>48</v>
      </c>
      <c r="D139" s="35" t="s">
        <v>48</v>
      </c>
      <c r="E139" s="34" t="s">
        <v>48</v>
      </c>
      <c r="F139" s="35" t="n">
        <v>0.0</v>
      </c>
      <c r="G139" s="34" t="s">
        <v>180</v>
      </c>
      <c r="H139" s="34" t="s">
        <v>48</v>
      </c>
      <c r="I139" s="35"/>
      <c r="J139" s="35"/>
      <c r="K139" s="37"/>
    </row>
    <row r="140">
      <c r="A140" s="35" t="s">
        <v>48</v>
      </c>
      <c r="B140" s="34" t="s">
        <v>48</v>
      </c>
      <c r="C140" s="35" t="s">
        <v>48</v>
      </c>
      <c r="D140" s="35" t="s">
        <v>48</v>
      </c>
      <c r="E140" s="34" t="s">
        <v>48</v>
      </c>
      <c r="F140" s="35" t="n">
        <v>1.0</v>
      </c>
      <c r="G140" s="34" t="s">
        <v>181</v>
      </c>
      <c r="H140" s="34" t="s">
        <v>48</v>
      </c>
      <c r="I140" s="35"/>
      <c r="J140" s="35"/>
      <c r="K140" s="37"/>
    </row>
    <row r="141">
      <c r="A141" s="35" t="s">
        <v>48</v>
      </c>
      <c r="B141" s="34" t="s">
        <v>48</v>
      </c>
      <c r="C141" s="35" t="s">
        <v>48</v>
      </c>
      <c r="D141" s="35" t="s">
        <v>48</v>
      </c>
      <c r="E141" s="34" t="s">
        <v>48</v>
      </c>
      <c r="F141" s="35" t="n">
        <v>2.0</v>
      </c>
      <c r="G141" s="34" t="s">
        <v>182</v>
      </c>
      <c r="H141" s="34" t="s">
        <v>48</v>
      </c>
      <c r="I141" s="35"/>
      <c r="J141" s="35"/>
      <c r="K141" s="37"/>
    </row>
    <row r="142">
      <c r="A142" s="35" t="s">
        <v>48</v>
      </c>
      <c r="B142" s="34" t="s">
        <v>48</v>
      </c>
      <c r="C142" s="35" t="s">
        <v>48</v>
      </c>
      <c r="D142" s="35" t="s">
        <v>48</v>
      </c>
      <c r="E142" s="34" t="s">
        <v>48</v>
      </c>
      <c r="F142" s="35" t="n">
        <v>3.0</v>
      </c>
      <c r="G142" s="34" t="s">
        <v>183</v>
      </c>
      <c r="H142" s="34" t="s">
        <v>48</v>
      </c>
      <c r="I142" s="35"/>
      <c r="J142" s="35"/>
      <c r="K142" s="37"/>
    </row>
    <row r="143">
      <c r="A143" s="35" t="s">
        <v>48</v>
      </c>
      <c r="B143" s="34" t="s">
        <v>48</v>
      </c>
      <c r="C143" s="35" t="s">
        <v>48</v>
      </c>
      <c r="D143" s="35" t="s">
        <v>45</v>
      </c>
      <c r="E143" s="34" t="s">
        <v>184</v>
      </c>
      <c r="F143" s="35" t="s">
        <v>48</v>
      </c>
      <c r="G143" s="34" t="s">
        <v>48</v>
      </c>
      <c r="H143" s="34" t="s">
        <v>48</v>
      </c>
      <c r="I143" s="35" t="n">
        <v>5.0</v>
      </c>
      <c r="J143" s="35"/>
      <c r="K143" s="37" t="n">
        <v>1.0</v>
      </c>
    </row>
    <row r="144">
      <c r="A144" s="35" t="s">
        <v>48</v>
      </c>
      <c r="B144" s="34" t="s">
        <v>48</v>
      </c>
      <c r="C144" s="35" t="s">
        <v>48</v>
      </c>
      <c r="D144" s="35" t="s">
        <v>48</v>
      </c>
      <c r="E144" s="34" t="s">
        <v>48</v>
      </c>
      <c r="F144" s="35" t="n">
        <v>0.0</v>
      </c>
      <c r="G144" s="34" t="s">
        <v>185</v>
      </c>
      <c r="H144" s="34" t="s">
        <v>48</v>
      </c>
      <c r="I144" s="35"/>
      <c r="J144" s="35"/>
      <c r="K144" s="37"/>
    </row>
    <row r="145">
      <c r="A145" s="35" t="s">
        <v>48</v>
      </c>
      <c r="B145" s="34" t="s">
        <v>48</v>
      </c>
      <c r="C145" s="35" t="s">
        <v>48</v>
      </c>
      <c r="D145" s="35" t="s">
        <v>48</v>
      </c>
      <c r="E145" s="34" t="s">
        <v>48</v>
      </c>
      <c r="F145" s="35" t="n">
        <v>1.0</v>
      </c>
      <c r="G145" s="34" t="s">
        <v>186</v>
      </c>
      <c r="H145" s="34" t="s">
        <v>48</v>
      </c>
      <c r="I145" s="35"/>
      <c r="J145" s="35"/>
      <c r="K145" s="37"/>
    </row>
    <row r="146">
      <c r="A146" s="35" t="s">
        <v>48</v>
      </c>
      <c r="B146" s="34" t="s">
        <v>48</v>
      </c>
      <c r="C146" s="35" t="s">
        <v>48</v>
      </c>
      <c r="D146" s="35" t="s">
        <v>48</v>
      </c>
      <c r="E146" s="34" t="s">
        <v>48</v>
      </c>
      <c r="F146" s="35" t="n">
        <v>2.0</v>
      </c>
      <c r="G146" s="34" t="s">
        <v>187</v>
      </c>
      <c r="H146" s="34" t="s">
        <v>48</v>
      </c>
      <c r="I146" s="35"/>
      <c r="J146" s="35"/>
      <c r="K146" s="37"/>
    </row>
    <row r="147">
      <c r="A147" s="35" t="s">
        <v>48</v>
      </c>
      <c r="B147" s="34" t="s">
        <v>48</v>
      </c>
      <c r="C147" s="35" t="s">
        <v>48</v>
      </c>
      <c r="D147" s="35" t="s">
        <v>48</v>
      </c>
      <c r="E147" s="34" t="s">
        <v>48</v>
      </c>
      <c r="F147" s="35" t="n">
        <v>3.0</v>
      </c>
      <c r="G147" s="34" t="s">
        <v>188</v>
      </c>
      <c r="H147" s="34" t="s">
        <v>48</v>
      </c>
      <c r="I147" s="35"/>
      <c r="J147" s="35"/>
      <c r="K147" s="37"/>
    </row>
    <row r="148">
      <c r="A148" s="35" t="s">
        <v>189</v>
      </c>
      <c r="B148" s="34" t="s">
        <v>190</v>
      </c>
      <c r="C148" s="35" t="s">
        <v>49</v>
      </c>
      <c r="D148" s="34" t="s">
        <v>48</v>
      </c>
      <c r="E148" s="34" t="s">
        <v>48</v>
      </c>
      <c r="F148" s="34" t="s">
        <v>48</v>
      </c>
      <c r="G148" s="34" t="s">
        <v>48</v>
      </c>
      <c r="H148" s="34" t="s">
        <v>48</v>
      </c>
      <c r="I148" s="34" t="s">
        <v>48</v>
      </c>
      <c r="J148" s="34" t="s">
        <v>48</v>
      </c>
      <c r="K148" s="34" t="s">
        <v>48</v>
      </c>
    </row>
    <row r="149">
      <c r="A149" s="35" t="s">
        <v>48</v>
      </c>
      <c r="B149" s="34" t="s">
        <v>48</v>
      </c>
      <c r="C149" s="35" t="s">
        <v>48</v>
      </c>
      <c r="D149" s="35" t="s">
        <v>52</v>
      </c>
      <c r="E149" s="34" t="s">
        <v>191</v>
      </c>
      <c r="F149" s="35" t="s">
        <v>48</v>
      </c>
      <c r="G149" s="34" t="s">
        <v>192</v>
      </c>
      <c r="H149" s="34" t="s">
        <v>48</v>
      </c>
      <c r="I149" s="35" t="n">
        <v>5.0</v>
      </c>
      <c r="J149" s="35" t="n">
        <v>1.0</v>
      </c>
      <c r="K149" s="37" t="n">
        <v>0.5</v>
      </c>
    </row>
    <row r="150">
      <c r="A150" s="35" t="s">
        <v>48</v>
      </c>
      <c r="B150" s="34" t="s">
        <v>48</v>
      </c>
      <c r="C150" s="35" t="s">
        <v>48</v>
      </c>
      <c r="D150" s="35" t="s">
        <v>52</v>
      </c>
      <c r="E150" s="34" t="s">
        <v>193</v>
      </c>
      <c r="F150" s="35" t="s">
        <v>48</v>
      </c>
      <c r="G150" s="34" t="s">
        <v>194</v>
      </c>
      <c r="H150" s="34" t="s">
        <v>48</v>
      </c>
      <c r="I150" s="35" t="n">
        <v>5.0</v>
      </c>
      <c r="J150" s="35" t="n">
        <v>1.0</v>
      </c>
      <c r="K150" s="37" t="n">
        <v>0.75</v>
      </c>
    </row>
    <row r="151">
      <c r="A151" s="35" t="s">
        <v>48</v>
      </c>
      <c r="B151" s="34" t="s">
        <v>48</v>
      </c>
      <c r="C151" s="35" t="s">
        <v>48</v>
      </c>
      <c r="D151" s="35" t="s">
        <v>52</v>
      </c>
      <c r="E151" s="34" t="s">
        <v>195</v>
      </c>
      <c r="F151" s="35" t="s">
        <v>48</v>
      </c>
      <c r="G151" s="34" t="s">
        <v>196</v>
      </c>
      <c r="H151" s="34" t="s">
        <v>48</v>
      </c>
      <c r="I151" s="35" t="n">
        <v>5.0</v>
      </c>
      <c r="J151" s="35" t="n">
        <v>1.0</v>
      </c>
      <c r="K151" s="37" t="n">
        <v>0.75</v>
      </c>
    </row>
    <row r="152">
      <c r="A152" s="35" t="s">
        <v>48</v>
      </c>
      <c r="B152" s="34" t="s">
        <v>48</v>
      </c>
      <c r="C152" s="35" t="s">
        <v>48</v>
      </c>
      <c r="D152" s="35" t="s">
        <v>52</v>
      </c>
      <c r="E152" s="34" t="s">
        <v>197</v>
      </c>
      <c r="F152" s="35" t="s">
        <v>48</v>
      </c>
      <c r="G152" s="34" t="s">
        <v>198</v>
      </c>
      <c r="H152" s="34" t="s">
        <v>48</v>
      </c>
      <c r="I152" s="35" t="n">
        <v>5.0</v>
      </c>
      <c r="J152" s="35" t="n">
        <v>1.0</v>
      </c>
      <c r="K152" s="37" t="n">
        <v>0.25</v>
      </c>
    </row>
    <row r="153">
      <c r="A153" s="35" t="s">
        <v>48</v>
      </c>
      <c r="B153" s="34" t="s">
        <v>48</v>
      </c>
      <c r="C153" s="35" t="s">
        <v>48</v>
      </c>
      <c r="D153" s="35" t="s">
        <v>52</v>
      </c>
      <c r="E153" s="34" t="s">
        <v>199</v>
      </c>
      <c r="F153" s="35" t="s">
        <v>48</v>
      </c>
      <c r="G153" s="34" t="s">
        <v>200</v>
      </c>
      <c r="H153" s="34" t="s">
        <v>48</v>
      </c>
      <c r="I153" s="35" t="n">
        <v>5.0</v>
      </c>
      <c r="J153" s="35" t="n">
        <v>1.0</v>
      </c>
      <c r="K153" s="37" t="n">
        <v>0.5</v>
      </c>
    </row>
    <row r="154">
      <c r="A154" s="35" t="s">
        <v>48</v>
      </c>
      <c r="B154" s="34" t="s">
        <v>48</v>
      </c>
      <c r="C154" s="35" t="s">
        <v>48</v>
      </c>
      <c r="D154" s="35" t="s">
        <v>52</v>
      </c>
      <c r="E154" s="34" t="s">
        <v>201</v>
      </c>
      <c r="F154" s="35" t="s">
        <v>48</v>
      </c>
      <c r="G154" s="34" t="s">
        <v>202</v>
      </c>
      <c r="H154" s="34" t="s">
        <v>48</v>
      </c>
      <c r="I154" s="35" t="n">
        <v>5.0</v>
      </c>
      <c r="J154" s="35" t="n">
        <v>1.0</v>
      </c>
      <c r="K154" s="37" t="n">
        <v>0.5</v>
      </c>
    </row>
    <row r="155">
      <c r="A155" s="35" t="s">
        <v>48</v>
      </c>
      <c r="B155" s="34" t="s">
        <v>48</v>
      </c>
      <c r="C155" s="35" t="s">
        <v>48</v>
      </c>
      <c r="D155" s="35" t="s">
        <v>52</v>
      </c>
      <c r="E155" s="34" t="s">
        <v>203</v>
      </c>
      <c r="F155" s="35" t="s">
        <v>48</v>
      </c>
      <c r="G155" s="34" t="s">
        <v>204</v>
      </c>
      <c r="H155" s="34" t="s">
        <v>48</v>
      </c>
      <c r="I155" s="35" t="n">
        <v>5.0</v>
      </c>
      <c r="J155" s="35" t="n">
        <v>1.0</v>
      </c>
      <c r="K155" s="37" t="n">
        <v>0.5</v>
      </c>
    </row>
    <row r="156">
      <c r="A156" s="35" t="s">
        <v>48</v>
      </c>
      <c r="B156" s="34" t="s">
        <v>48</v>
      </c>
      <c r="C156" s="35" t="s">
        <v>48</v>
      </c>
      <c r="D156" s="35" t="s">
        <v>52</v>
      </c>
      <c r="E156" s="34" t="s">
        <v>205</v>
      </c>
      <c r="F156" s="35" t="s">
        <v>48</v>
      </c>
      <c r="G156" s="34" t="s">
        <v>206</v>
      </c>
      <c r="H156" s="34" t="s">
        <v>48</v>
      </c>
      <c r="I156" s="35" t="n">
        <v>5.0</v>
      </c>
      <c r="J156" s="35" t="n">
        <v>1.0</v>
      </c>
      <c r="K156" s="37" t="n">
        <v>0.25</v>
      </c>
    </row>
    <row r="157">
      <c r="A157" s="35" t="s">
        <v>48</v>
      </c>
      <c r="B157" s="34" t="s">
        <v>48</v>
      </c>
      <c r="C157" s="35" t="s">
        <v>48</v>
      </c>
      <c r="D157" s="35" t="s">
        <v>52</v>
      </c>
      <c r="E157" s="34" t="s">
        <v>207</v>
      </c>
      <c r="F157" s="35" t="s">
        <v>48</v>
      </c>
      <c r="G157" s="34" t="s">
        <v>208</v>
      </c>
      <c r="H157" s="34" t="s">
        <v>48</v>
      </c>
      <c r="I157" s="35" t="n">
        <v>5.0</v>
      </c>
      <c r="J157" s="35" t="n">
        <v>1.0</v>
      </c>
      <c r="K157" s="37" t="n">
        <v>0.5</v>
      </c>
    </row>
    <row r="158">
      <c r="A158" s="35" t="s">
        <v>48</v>
      </c>
      <c r="B158" s="34" t="s">
        <v>48</v>
      </c>
      <c r="C158" s="35" t="s">
        <v>48</v>
      </c>
      <c r="D158" s="35" t="s">
        <v>52</v>
      </c>
      <c r="E158" s="34" t="s">
        <v>209</v>
      </c>
      <c r="F158" s="35" t="s">
        <v>48</v>
      </c>
      <c r="G158" s="34" t="s">
        <v>210</v>
      </c>
      <c r="H158" s="34" t="s">
        <v>48</v>
      </c>
      <c r="I158" s="35" t="n">
        <v>5.0</v>
      </c>
      <c r="J158" s="35" t="n">
        <v>1.0</v>
      </c>
      <c r="K158" s="37" t="n">
        <v>0.5</v>
      </c>
    </row>
    <row r="159">
      <c r="A159" s="35" t="s">
        <v>48</v>
      </c>
      <c r="B159" s="34" t="s">
        <v>48</v>
      </c>
      <c r="C159" s="35" t="s">
        <v>48</v>
      </c>
      <c r="D159" s="35" t="s">
        <v>52</v>
      </c>
      <c r="E159" s="34" t="s">
        <v>211</v>
      </c>
      <c r="F159" s="35" t="s">
        <v>48</v>
      </c>
      <c r="G159" s="34" t="s">
        <v>212</v>
      </c>
      <c r="H159" s="34" t="s">
        <v>48</v>
      </c>
      <c r="I159" s="35" t="n">
        <v>5.0</v>
      </c>
      <c r="J159" s="35" t="n">
        <v>1.0</v>
      </c>
      <c r="K159" s="37" t="n">
        <v>0.25</v>
      </c>
    </row>
    <row r="160">
      <c r="A160" s="35" t="s">
        <v>48</v>
      </c>
      <c r="B160" s="34" t="s">
        <v>48</v>
      </c>
      <c r="C160" s="35" t="s">
        <v>48</v>
      </c>
      <c r="D160" s="35" t="s">
        <v>52</v>
      </c>
      <c r="E160" s="34" t="s">
        <v>213</v>
      </c>
      <c r="F160" s="35" t="s">
        <v>48</v>
      </c>
      <c r="G160" s="34" t="s">
        <v>214</v>
      </c>
      <c r="H160" s="34" t="s">
        <v>48</v>
      </c>
      <c r="I160" s="35" t="n">
        <v>5.0</v>
      </c>
      <c r="J160" s="35" t="n">
        <v>1.0</v>
      </c>
      <c r="K160" s="37" t="n">
        <v>0.5</v>
      </c>
    </row>
    <row r="161">
      <c r="A161" s="35" t="s">
        <v>215</v>
      </c>
      <c r="B161" s="34" t="s">
        <v>216</v>
      </c>
      <c r="C161" s="35" t="s">
        <v>49</v>
      </c>
      <c r="D161" s="34" t="s">
        <v>48</v>
      </c>
      <c r="E161" s="34" t="s">
        <v>48</v>
      </c>
      <c r="F161" s="34" t="s">
        <v>48</v>
      </c>
      <c r="G161" s="34" t="s">
        <v>48</v>
      </c>
      <c r="H161" s="34" t="s">
        <v>48</v>
      </c>
      <c r="I161" s="34" t="s">
        <v>48</v>
      </c>
      <c r="J161" s="34" t="s">
        <v>48</v>
      </c>
      <c r="K161" s="34" t="s">
        <v>48</v>
      </c>
    </row>
    <row r="162">
      <c r="A162" s="35" t="s">
        <v>48</v>
      </c>
      <c r="B162" s="34" t="s">
        <v>48</v>
      </c>
      <c r="C162" s="35" t="s">
        <v>48</v>
      </c>
      <c r="D162" s="35" t="s">
        <v>52</v>
      </c>
      <c r="E162" s="34" t="s">
        <v>217</v>
      </c>
      <c r="F162" s="35" t="s">
        <v>48</v>
      </c>
      <c r="G162" s="34" t="s">
        <v>218</v>
      </c>
      <c r="H162" s="34" t="s">
        <v>48</v>
      </c>
      <c r="I162" s="35" t="n">
        <v>5.0</v>
      </c>
      <c r="J162" s="35" t="n">
        <v>1.0</v>
      </c>
      <c r="K162" s="37" t="n">
        <v>0.5</v>
      </c>
    </row>
    <row r="163">
      <c r="A163" s="35" t="s">
        <v>48</v>
      </c>
      <c r="B163" s="34" t="s">
        <v>48</v>
      </c>
      <c r="C163" s="35" t="s">
        <v>48</v>
      </c>
      <c r="D163" s="35" t="s">
        <v>52</v>
      </c>
      <c r="E163" s="34" t="s">
        <v>219</v>
      </c>
      <c r="F163" s="35" t="s">
        <v>48</v>
      </c>
      <c r="G163" s="34" t="s">
        <v>220</v>
      </c>
      <c r="H163" s="34" t="s">
        <v>48</v>
      </c>
      <c r="I163" s="35" t="n">
        <v>5.0</v>
      </c>
      <c r="J163" s="35" t="n">
        <v>1.0</v>
      </c>
      <c r="K163" s="37" t="n">
        <v>0.2</v>
      </c>
    </row>
    <row r="164">
      <c r="A164" s="35" t="s">
        <v>48</v>
      </c>
      <c r="B164" s="34" t="s">
        <v>48</v>
      </c>
      <c r="C164" s="35" t="s">
        <v>48</v>
      </c>
      <c r="D164" s="35" t="s">
        <v>52</v>
      </c>
      <c r="E164" s="34" t="s">
        <v>221</v>
      </c>
      <c r="F164" s="35" t="s">
        <v>48</v>
      </c>
      <c r="G164" s="34" t="s">
        <v>222</v>
      </c>
      <c r="H164" s="34" t="s">
        <v>48</v>
      </c>
      <c r="I164" s="35" t="n">
        <v>5.0</v>
      </c>
      <c r="J164" s="35" t="n">
        <v>1.0</v>
      </c>
      <c r="K164" s="37" t="n">
        <v>0.4</v>
      </c>
    </row>
    <row r="165">
      <c r="A165" s="35" t="s">
        <v>48</v>
      </c>
      <c r="B165" s="34" t="s">
        <v>48</v>
      </c>
      <c r="C165" s="35" t="s">
        <v>48</v>
      </c>
      <c r="D165" s="35" t="s">
        <v>52</v>
      </c>
      <c r="E165" s="34" t="s">
        <v>223</v>
      </c>
      <c r="F165" s="35" t="s">
        <v>48</v>
      </c>
      <c r="G165" s="34" t="s">
        <v>224</v>
      </c>
      <c r="H165" s="34" t="s">
        <v>48</v>
      </c>
      <c r="I165" s="35" t="n">
        <v>5.0</v>
      </c>
      <c r="J165" s="35" t="n">
        <v>1.0</v>
      </c>
      <c r="K165" s="37" t="n">
        <v>0.4</v>
      </c>
    </row>
    <row r="166">
      <c r="A166" s="35" t="s">
        <v>48</v>
      </c>
      <c r="B166" s="34" t="s">
        <v>48</v>
      </c>
      <c r="C166" s="35" t="s">
        <v>48</v>
      </c>
      <c r="D166" s="35" t="s">
        <v>52</v>
      </c>
      <c r="E166" s="34" t="s">
        <v>225</v>
      </c>
      <c r="F166" s="35" t="s">
        <v>48</v>
      </c>
      <c r="G166" s="34" t="s">
        <v>226</v>
      </c>
      <c r="H166" s="34" t="s">
        <v>48</v>
      </c>
      <c r="I166" s="35" t="n">
        <v>5.0</v>
      </c>
      <c r="J166" s="35" t="n">
        <v>1.0</v>
      </c>
      <c r="K166" s="37" t="n">
        <v>0.1</v>
      </c>
    </row>
    <row r="167">
      <c r="A167" s="35" t="s">
        <v>48</v>
      </c>
      <c r="B167" s="34" t="s">
        <v>48</v>
      </c>
      <c r="C167" s="35" t="s">
        <v>48</v>
      </c>
      <c r="D167" s="35" t="s">
        <v>52</v>
      </c>
      <c r="E167" s="34" t="s">
        <v>227</v>
      </c>
      <c r="F167" s="35" t="s">
        <v>48</v>
      </c>
      <c r="G167" s="34" t="s">
        <v>228</v>
      </c>
      <c r="H167" s="34" t="s">
        <v>48</v>
      </c>
      <c r="I167" s="35" t="n">
        <v>5.0</v>
      </c>
      <c r="J167" s="35" t="n">
        <v>1.0</v>
      </c>
      <c r="K167" s="37" t="n">
        <v>0.5</v>
      </c>
    </row>
    <row r="168">
      <c r="A168" s="35" t="s">
        <v>48</v>
      </c>
      <c r="B168" s="34" t="s">
        <v>48</v>
      </c>
      <c r="C168" s="35" t="s">
        <v>48</v>
      </c>
      <c r="D168" s="35" t="s">
        <v>52</v>
      </c>
      <c r="E168" s="34" t="s">
        <v>229</v>
      </c>
      <c r="F168" s="35" t="s">
        <v>48</v>
      </c>
      <c r="G168" s="34" t="s">
        <v>230</v>
      </c>
      <c r="H168" s="34" t="s">
        <v>48</v>
      </c>
      <c r="I168" s="35" t="n">
        <v>5.0</v>
      </c>
      <c r="J168" s="35" t="n">
        <v>1.0</v>
      </c>
      <c r="K168" s="37" t="n">
        <v>0.2</v>
      </c>
    </row>
    <row r="169">
      <c r="A169" s="35" t="s">
        <v>48</v>
      </c>
      <c r="B169" s="34" t="s">
        <v>48</v>
      </c>
      <c r="C169" s="35" t="s">
        <v>48</v>
      </c>
      <c r="D169" s="35" t="s">
        <v>52</v>
      </c>
      <c r="E169" s="34" t="s">
        <v>231</v>
      </c>
      <c r="F169" s="35" t="s">
        <v>48</v>
      </c>
      <c r="G169" s="34" t="s">
        <v>232</v>
      </c>
      <c r="H169" s="34" t="s">
        <v>48</v>
      </c>
      <c r="I169" s="35" t="n">
        <v>5.0</v>
      </c>
      <c r="J169" s="35" t="n">
        <v>1.0</v>
      </c>
      <c r="K169" s="37" t="n">
        <v>0.2</v>
      </c>
    </row>
    <row r="170">
      <c r="A170" s="35" t="s">
        <v>48</v>
      </c>
      <c r="B170" s="34" t="s">
        <v>48</v>
      </c>
      <c r="C170" s="35" t="s">
        <v>48</v>
      </c>
      <c r="D170" s="35" t="s">
        <v>48</v>
      </c>
      <c r="E170" s="34" t="s">
        <v>48</v>
      </c>
      <c r="F170" s="35" t="s">
        <v>48</v>
      </c>
      <c r="G170" s="34" t="s">
        <v>48</v>
      </c>
      <c r="H170" s="34" t="s">
        <v>48</v>
      </c>
      <c r="I170" s="35"/>
      <c r="J170" s="35"/>
      <c r="K170" s="37"/>
    </row>
    <row r="171">
      <c r="A171" s="35" t="s">
        <v>48</v>
      </c>
      <c r="B171" s="34" t="s">
        <v>48</v>
      </c>
      <c r="C171" s="35" t="s">
        <v>48</v>
      </c>
      <c r="D171" s="35" t="s">
        <v>48</v>
      </c>
      <c r="E171" s="34" t="s">
        <v>48</v>
      </c>
      <c r="F171" s="35" t="s">
        <v>48</v>
      </c>
      <c r="G171" s="34" t="s">
        <v>48</v>
      </c>
      <c r="H171" s="34" t="s">
        <v>48</v>
      </c>
      <c r="I171" s="35"/>
      <c r="J171" s="35"/>
      <c r="K171" s="37"/>
    </row>
    <row r="172">
      <c r="A172" s="58" t="s">
        <v>15</v>
      </c>
      <c r="B172" s="59" t="s">
        <v>16</v>
      </c>
      <c r="C172" s="60" t="s">
        <v>10</v>
      </c>
      <c r="D172" s="61" t="s">
        <v>6</v>
      </c>
      <c r="E172" s="62" t="s">
        <v>1</v>
      </c>
      <c r="F172" s="63" t="s">
        <v>2</v>
      </c>
      <c r="G172" s="64" t="s">
        <v>8</v>
      </c>
      <c r="H172" s="65" t="s">
        <v>9</v>
      </c>
      <c r="I172" s="66" t="s">
        <v>23</v>
      </c>
      <c r="J172" s="67" t="s">
        <v>11</v>
      </c>
      <c r="K172" s="68" t="s">
        <v>3</v>
      </c>
      <c r="L172" s="69" t="s">
        <v>233</v>
      </c>
      <c r="M172" s="70" t="s">
        <v>4</v>
      </c>
      <c r="N172" s="71">
        <f>SUM(K173:K209)</f>
      </c>
    </row>
    <row r="173">
      <c r="A173" s="35" t="s">
        <v>234</v>
      </c>
      <c r="B173" s="34" t="s">
        <v>235</v>
      </c>
      <c r="C173" s="35" t="s">
        <v>236</v>
      </c>
      <c r="D173" s="34" t="s">
        <v>48</v>
      </c>
      <c r="E173" s="34" t="s">
        <v>48</v>
      </c>
      <c r="F173" s="34" t="s">
        <v>48</v>
      </c>
      <c r="G173" s="34" t="s">
        <v>48</v>
      </c>
      <c r="H173" s="34" t="s">
        <v>48</v>
      </c>
      <c r="I173" s="34" t="s">
        <v>48</v>
      </c>
      <c r="J173" s="34" t="s">
        <v>48</v>
      </c>
      <c r="K173" s="34" t="s">
        <v>48</v>
      </c>
    </row>
    <row r="174">
      <c r="A174" s="35" t="s">
        <v>48</v>
      </c>
      <c r="B174" s="34" t="s">
        <v>48</v>
      </c>
      <c r="C174" s="35" t="s">
        <v>48</v>
      </c>
      <c r="D174" s="35" t="s">
        <v>52</v>
      </c>
      <c r="E174" s="34" t="s">
        <v>237</v>
      </c>
      <c r="F174" s="35" t="s">
        <v>48</v>
      </c>
      <c r="G174" s="34" t="s">
        <v>48</v>
      </c>
      <c r="H174" s="34" t="s">
        <v>48</v>
      </c>
      <c r="I174" s="35" t="n">
        <v>1.0</v>
      </c>
      <c r="J174" s="35" t="n">
        <v>1.0</v>
      </c>
      <c r="K174" s="37" t="n">
        <v>1.0</v>
      </c>
    </row>
    <row r="175">
      <c r="A175" s="35" t="s">
        <v>48</v>
      </c>
      <c r="B175" s="34" t="s">
        <v>48</v>
      </c>
      <c r="C175" s="35" t="s">
        <v>48</v>
      </c>
      <c r="D175" s="35" t="s">
        <v>52</v>
      </c>
      <c r="E175" s="34" t="s">
        <v>238</v>
      </c>
      <c r="F175" s="35" t="s">
        <v>48</v>
      </c>
      <c r="G175" s="34" t="s">
        <v>239</v>
      </c>
      <c r="H175" s="34" t="s">
        <v>48</v>
      </c>
      <c r="I175" s="35" t="n">
        <v>2.0</v>
      </c>
      <c r="J175" s="35" t="n">
        <v>1.0</v>
      </c>
      <c r="K175" s="37" t="n">
        <v>0.25</v>
      </c>
    </row>
    <row r="176">
      <c r="A176" s="35" t="s">
        <v>48</v>
      </c>
      <c r="B176" s="34" t="s">
        <v>48</v>
      </c>
      <c r="C176" s="35" t="s">
        <v>48</v>
      </c>
      <c r="D176" s="35" t="s">
        <v>52</v>
      </c>
      <c r="E176" s="34" t="s">
        <v>240</v>
      </c>
      <c r="F176" s="35" t="s">
        <v>48</v>
      </c>
      <c r="G176" s="34" t="s">
        <v>241</v>
      </c>
      <c r="H176" s="34" t="s">
        <v>48</v>
      </c>
      <c r="I176" s="35" t="n">
        <v>2.0</v>
      </c>
      <c r="J176" s="35" t="n">
        <v>1.0</v>
      </c>
      <c r="K176" s="37" t="n">
        <v>0.25</v>
      </c>
    </row>
    <row r="177">
      <c r="A177" s="35" t="s">
        <v>48</v>
      </c>
      <c r="B177" s="34" t="s">
        <v>48</v>
      </c>
      <c r="C177" s="35" t="s">
        <v>48</v>
      </c>
      <c r="D177" s="35" t="s">
        <v>52</v>
      </c>
      <c r="E177" s="34" t="s">
        <v>242</v>
      </c>
      <c r="F177" s="35" t="s">
        <v>48</v>
      </c>
      <c r="G177" s="34" t="s">
        <v>243</v>
      </c>
      <c r="H177" s="34" t="s">
        <v>48</v>
      </c>
      <c r="I177" s="35" t="n">
        <v>2.0</v>
      </c>
      <c r="J177" s="35" t="n">
        <v>1.0</v>
      </c>
      <c r="K177" s="37" t="n">
        <v>0.25</v>
      </c>
    </row>
    <row r="178">
      <c r="A178" s="35" t="s">
        <v>244</v>
      </c>
      <c r="B178" s="34" t="s">
        <v>245</v>
      </c>
      <c r="C178" s="35" t="s">
        <v>236</v>
      </c>
      <c r="D178" s="34" t="s">
        <v>48</v>
      </c>
      <c r="E178" s="34" t="s">
        <v>48</v>
      </c>
      <c r="F178" s="34" t="s">
        <v>48</v>
      </c>
      <c r="G178" s="34" t="s">
        <v>48</v>
      </c>
      <c r="H178" s="34" t="s">
        <v>48</v>
      </c>
      <c r="I178" s="34" t="s">
        <v>48</v>
      </c>
      <c r="J178" s="34" t="s">
        <v>48</v>
      </c>
      <c r="K178" s="34" t="s">
        <v>48</v>
      </c>
    </row>
    <row r="179">
      <c r="A179" s="35" t="s">
        <v>48</v>
      </c>
      <c r="B179" s="34" t="s">
        <v>48</v>
      </c>
      <c r="C179" s="35" t="s">
        <v>48</v>
      </c>
      <c r="D179" s="35" t="s">
        <v>52</v>
      </c>
      <c r="E179" s="34" t="s">
        <v>246</v>
      </c>
      <c r="F179" s="35" t="s">
        <v>48</v>
      </c>
      <c r="G179" s="34" t="s">
        <v>48</v>
      </c>
      <c r="H179" s="34" t="s">
        <v>247</v>
      </c>
      <c r="I179" s="35" t="n">
        <v>5.0</v>
      </c>
      <c r="J179" s="35" t="n">
        <v>1.0</v>
      </c>
      <c r="K179" s="37" t="n">
        <v>0.75</v>
      </c>
    </row>
    <row r="180">
      <c r="A180" s="35" t="s">
        <v>48</v>
      </c>
      <c r="B180" s="34" t="s">
        <v>48</v>
      </c>
      <c r="C180" s="35" t="s">
        <v>48</v>
      </c>
      <c r="D180" s="35" t="s">
        <v>52</v>
      </c>
      <c r="E180" s="34" t="s">
        <v>248</v>
      </c>
      <c r="F180" s="35" t="s">
        <v>48</v>
      </c>
      <c r="G180" s="34" t="s">
        <v>48</v>
      </c>
      <c r="H180" s="34" t="s">
        <v>249</v>
      </c>
      <c r="I180" s="35" t="n">
        <v>5.0</v>
      </c>
      <c r="J180" s="35" t="n">
        <v>1.0</v>
      </c>
      <c r="K180" s="37" t="n">
        <v>0.25</v>
      </c>
    </row>
    <row r="181">
      <c r="A181" s="35" t="s">
        <v>48</v>
      </c>
      <c r="B181" s="34" t="s">
        <v>48</v>
      </c>
      <c r="C181" s="35" t="s">
        <v>48</v>
      </c>
      <c r="D181" s="35" t="s">
        <v>52</v>
      </c>
      <c r="E181" s="34" t="s">
        <v>250</v>
      </c>
      <c r="F181" s="35" t="s">
        <v>48</v>
      </c>
      <c r="G181" s="34" t="s">
        <v>48</v>
      </c>
      <c r="H181" s="34" t="s">
        <v>251</v>
      </c>
      <c r="I181" s="35" t="n">
        <v>5.0</v>
      </c>
      <c r="J181" s="35" t="n">
        <v>1.0</v>
      </c>
      <c r="K181" s="37" t="n">
        <v>0.5</v>
      </c>
    </row>
    <row r="182">
      <c r="A182" s="35" t="s">
        <v>48</v>
      </c>
      <c r="B182" s="34" t="s">
        <v>48</v>
      </c>
      <c r="C182" s="35" t="s">
        <v>48</v>
      </c>
      <c r="D182" s="35" t="s">
        <v>52</v>
      </c>
      <c r="E182" s="34" t="s">
        <v>252</v>
      </c>
      <c r="F182" s="35" t="s">
        <v>48</v>
      </c>
      <c r="G182" s="34" t="s">
        <v>48</v>
      </c>
      <c r="H182" s="34" t="s">
        <v>253</v>
      </c>
      <c r="I182" s="35" t="n">
        <v>5.0</v>
      </c>
      <c r="J182" s="35" t="n">
        <v>1.0</v>
      </c>
      <c r="K182" s="37" t="n">
        <v>0.5</v>
      </c>
    </row>
    <row r="183">
      <c r="A183" s="35" t="s">
        <v>48</v>
      </c>
      <c r="B183" s="34" t="s">
        <v>48</v>
      </c>
      <c r="C183" s="35" t="s">
        <v>48</v>
      </c>
      <c r="D183" s="35" t="s">
        <v>52</v>
      </c>
      <c r="E183" s="34" t="s">
        <v>254</v>
      </c>
      <c r="F183" s="35" t="s">
        <v>48</v>
      </c>
      <c r="G183" s="34" t="s">
        <v>48</v>
      </c>
      <c r="H183" s="34" t="s">
        <v>255</v>
      </c>
      <c r="I183" s="35" t="n">
        <v>5.0</v>
      </c>
      <c r="J183" s="35" t="n">
        <v>1.0</v>
      </c>
      <c r="K183" s="37" t="n">
        <v>0.5</v>
      </c>
    </row>
    <row r="184">
      <c r="A184" s="35" t="s">
        <v>48</v>
      </c>
      <c r="B184" s="34" t="s">
        <v>48</v>
      </c>
      <c r="C184" s="35" t="s">
        <v>48</v>
      </c>
      <c r="D184" s="35" t="s">
        <v>52</v>
      </c>
      <c r="E184" s="34" t="s">
        <v>256</v>
      </c>
      <c r="F184" s="35" t="s">
        <v>48</v>
      </c>
      <c r="G184" s="34" t="s">
        <v>48</v>
      </c>
      <c r="H184" s="34" t="s">
        <v>257</v>
      </c>
      <c r="I184" s="35" t="n">
        <v>5.0</v>
      </c>
      <c r="J184" s="35" t="n">
        <v>1.0</v>
      </c>
      <c r="K184" s="37" t="n">
        <v>0.5</v>
      </c>
    </row>
    <row r="185">
      <c r="A185" s="35" t="s">
        <v>48</v>
      </c>
      <c r="B185" s="34" t="s">
        <v>48</v>
      </c>
      <c r="C185" s="35" t="s">
        <v>48</v>
      </c>
      <c r="D185" s="35" t="s">
        <v>52</v>
      </c>
      <c r="E185" s="34" t="s">
        <v>258</v>
      </c>
      <c r="F185" s="35" t="s">
        <v>48</v>
      </c>
      <c r="G185" s="34" t="s">
        <v>48</v>
      </c>
      <c r="H185" s="34" t="s">
        <v>259</v>
      </c>
      <c r="I185" s="35" t="n">
        <v>5.0</v>
      </c>
      <c r="J185" s="35" t="n">
        <v>1.0</v>
      </c>
      <c r="K185" s="37" t="n">
        <v>0.25</v>
      </c>
    </row>
    <row r="186">
      <c r="A186" s="35" t="s">
        <v>260</v>
      </c>
      <c r="B186" s="34" t="s">
        <v>261</v>
      </c>
      <c r="C186" s="35" t="s">
        <v>236</v>
      </c>
      <c r="D186" s="34" t="s">
        <v>48</v>
      </c>
      <c r="E186" s="34" t="s">
        <v>48</v>
      </c>
      <c r="F186" s="34" t="s">
        <v>48</v>
      </c>
      <c r="G186" s="34" t="s">
        <v>48</v>
      </c>
      <c r="H186" s="34" t="s">
        <v>48</v>
      </c>
      <c r="I186" s="34" t="s">
        <v>48</v>
      </c>
      <c r="J186" s="34" t="s">
        <v>48</v>
      </c>
      <c r="K186" s="34" t="s">
        <v>48</v>
      </c>
    </row>
    <row r="187">
      <c r="A187" s="35" t="s">
        <v>48</v>
      </c>
      <c r="B187" s="34" t="s">
        <v>48</v>
      </c>
      <c r="C187" s="35" t="s">
        <v>48</v>
      </c>
      <c r="D187" s="35" t="s">
        <v>52</v>
      </c>
      <c r="E187" s="34" t="s">
        <v>262</v>
      </c>
      <c r="F187" s="35" t="s">
        <v>48</v>
      </c>
      <c r="G187" s="34" t="s">
        <v>48</v>
      </c>
      <c r="H187" s="34" t="s">
        <v>263</v>
      </c>
      <c r="I187" s="35" t="n">
        <v>5.0</v>
      </c>
      <c r="J187" s="35" t="n">
        <v>1.0</v>
      </c>
      <c r="K187" s="37" t="n">
        <v>1.0</v>
      </c>
    </row>
    <row r="188">
      <c r="A188" s="35" t="s">
        <v>48</v>
      </c>
      <c r="B188" s="34" t="s">
        <v>48</v>
      </c>
      <c r="C188" s="35" t="s">
        <v>48</v>
      </c>
      <c r="D188" s="35" t="s">
        <v>52</v>
      </c>
      <c r="E188" s="34" t="s">
        <v>264</v>
      </c>
      <c r="F188" s="35" t="s">
        <v>48</v>
      </c>
      <c r="G188" s="34" t="s">
        <v>48</v>
      </c>
      <c r="H188" s="34" t="s">
        <v>265</v>
      </c>
      <c r="I188" s="35" t="n">
        <v>5.0</v>
      </c>
      <c r="J188" s="35" t="n">
        <v>1.0</v>
      </c>
      <c r="K188" s="37" t="n">
        <v>1.0</v>
      </c>
    </row>
    <row r="189">
      <c r="A189" s="35" t="s">
        <v>48</v>
      </c>
      <c r="B189" s="34" t="s">
        <v>48</v>
      </c>
      <c r="C189" s="35" t="s">
        <v>48</v>
      </c>
      <c r="D189" s="35" t="s">
        <v>52</v>
      </c>
      <c r="E189" s="34" t="s">
        <v>266</v>
      </c>
      <c r="F189" s="35" t="s">
        <v>48</v>
      </c>
      <c r="G189" s="34" t="s">
        <v>48</v>
      </c>
      <c r="H189" s="34" t="s">
        <v>267</v>
      </c>
      <c r="I189" s="35" t="n">
        <v>5.0</v>
      </c>
      <c r="J189" s="35" t="n">
        <v>1.0</v>
      </c>
      <c r="K189" s="37" t="n">
        <v>1.0</v>
      </c>
    </row>
    <row r="190">
      <c r="A190" s="35" t="s">
        <v>48</v>
      </c>
      <c r="B190" s="34" t="s">
        <v>48</v>
      </c>
      <c r="C190" s="35" t="s">
        <v>48</v>
      </c>
      <c r="D190" s="35" t="s">
        <v>52</v>
      </c>
      <c r="E190" s="34" t="s">
        <v>268</v>
      </c>
      <c r="F190" s="35" t="s">
        <v>48</v>
      </c>
      <c r="G190" s="34" t="s">
        <v>48</v>
      </c>
      <c r="H190" s="34" t="s">
        <v>269</v>
      </c>
      <c r="I190" s="35" t="n">
        <v>5.0</v>
      </c>
      <c r="J190" s="35" t="n">
        <v>1.0</v>
      </c>
      <c r="K190" s="37" t="n">
        <v>0.5</v>
      </c>
    </row>
    <row r="191">
      <c r="A191" s="35" t="s">
        <v>48</v>
      </c>
      <c r="B191" s="34" t="s">
        <v>48</v>
      </c>
      <c r="C191" s="35" t="s">
        <v>48</v>
      </c>
      <c r="D191" s="35" t="s">
        <v>52</v>
      </c>
      <c r="E191" s="34" t="s">
        <v>270</v>
      </c>
      <c r="F191" s="35" t="s">
        <v>48</v>
      </c>
      <c r="G191" s="34" t="s">
        <v>48</v>
      </c>
      <c r="H191" s="34" t="s">
        <v>271</v>
      </c>
      <c r="I191" s="35" t="n">
        <v>5.0</v>
      </c>
      <c r="J191" s="35" t="n">
        <v>1.0</v>
      </c>
      <c r="K191" s="37" t="n">
        <v>0.5</v>
      </c>
    </row>
    <row r="192">
      <c r="A192" s="35" t="s">
        <v>272</v>
      </c>
      <c r="B192" s="34" t="s">
        <v>273</v>
      </c>
      <c r="C192" s="35" t="s">
        <v>236</v>
      </c>
      <c r="D192" s="34" t="s">
        <v>48</v>
      </c>
      <c r="E192" s="34" t="s">
        <v>48</v>
      </c>
      <c r="F192" s="34" t="s">
        <v>48</v>
      </c>
      <c r="G192" s="34" t="s">
        <v>48</v>
      </c>
      <c r="H192" s="34" t="s">
        <v>48</v>
      </c>
      <c r="I192" s="34" t="s">
        <v>48</v>
      </c>
      <c r="J192" s="34" t="s">
        <v>48</v>
      </c>
      <c r="K192" s="34" t="s">
        <v>48</v>
      </c>
    </row>
    <row r="193">
      <c r="A193" s="35" t="s">
        <v>48</v>
      </c>
      <c r="B193" s="34" t="s">
        <v>48</v>
      </c>
      <c r="C193" s="35" t="s">
        <v>48</v>
      </c>
      <c r="D193" s="35" t="s">
        <v>52</v>
      </c>
      <c r="E193" s="34" t="s">
        <v>274</v>
      </c>
      <c r="F193" s="35" t="s">
        <v>48</v>
      </c>
      <c r="G193" s="34" t="s">
        <v>48</v>
      </c>
      <c r="H193" s="34" t="s">
        <v>275</v>
      </c>
      <c r="I193" s="35" t="n">
        <v>5.0</v>
      </c>
      <c r="J193" s="35" t="n">
        <v>1.0</v>
      </c>
      <c r="K193" s="37" t="n">
        <v>1.5</v>
      </c>
    </row>
    <row r="194">
      <c r="A194" s="35" t="s">
        <v>48</v>
      </c>
      <c r="B194" s="34" t="s">
        <v>48</v>
      </c>
      <c r="C194" s="35" t="s">
        <v>48</v>
      </c>
      <c r="D194" s="35" t="s">
        <v>52</v>
      </c>
      <c r="E194" s="34" t="s">
        <v>276</v>
      </c>
      <c r="F194" s="35" t="s">
        <v>48</v>
      </c>
      <c r="G194" s="34" t="s">
        <v>48</v>
      </c>
      <c r="H194" s="34" t="s">
        <v>277</v>
      </c>
      <c r="I194" s="35" t="n">
        <v>5.0</v>
      </c>
      <c r="J194" s="35" t="n">
        <v>1.0</v>
      </c>
      <c r="K194" s="37" t="n">
        <v>0.25</v>
      </c>
    </row>
    <row r="195">
      <c r="A195" s="35" t="s">
        <v>48</v>
      </c>
      <c r="B195" s="34" t="s">
        <v>48</v>
      </c>
      <c r="C195" s="35" t="s">
        <v>48</v>
      </c>
      <c r="D195" s="35" t="s">
        <v>52</v>
      </c>
      <c r="E195" s="34" t="s">
        <v>278</v>
      </c>
      <c r="F195" s="35" t="s">
        <v>48</v>
      </c>
      <c r="G195" s="34" t="s">
        <v>48</v>
      </c>
      <c r="H195" s="34" t="s">
        <v>279</v>
      </c>
      <c r="I195" s="35" t="n">
        <v>5.0</v>
      </c>
      <c r="J195" s="35" t="n">
        <v>1.0</v>
      </c>
      <c r="K195" s="37" t="n">
        <v>1.0</v>
      </c>
    </row>
    <row r="196">
      <c r="A196" s="35" t="s">
        <v>48</v>
      </c>
      <c r="B196" s="34" t="s">
        <v>48</v>
      </c>
      <c r="C196" s="35" t="s">
        <v>48</v>
      </c>
      <c r="D196" s="35" t="s">
        <v>52</v>
      </c>
      <c r="E196" s="34" t="s">
        <v>280</v>
      </c>
      <c r="F196" s="35" t="s">
        <v>48</v>
      </c>
      <c r="G196" s="34" t="s">
        <v>48</v>
      </c>
      <c r="H196" s="34" t="s">
        <v>259</v>
      </c>
      <c r="I196" s="35" t="n">
        <v>5.0</v>
      </c>
      <c r="J196" s="35" t="n">
        <v>1.0</v>
      </c>
      <c r="K196" s="37" t="n">
        <v>0.25</v>
      </c>
    </row>
    <row r="197">
      <c r="A197" s="35" t="s">
        <v>281</v>
      </c>
      <c r="B197" s="34" t="s">
        <v>282</v>
      </c>
      <c r="C197" s="35" t="s">
        <v>236</v>
      </c>
      <c r="D197" s="34" t="s">
        <v>48</v>
      </c>
      <c r="E197" s="34" t="s">
        <v>48</v>
      </c>
      <c r="F197" s="34" t="s">
        <v>48</v>
      </c>
      <c r="G197" s="34" t="s">
        <v>48</v>
      </c>
      <c r="H197" s="34" t="s">
        <v>48</v>
      </c>
      <c r="I197" s="34" t="s">
        <v>48</v>
      </c>
      <c r="J197" s="34" t="s">
        <v>48</v>
      </c>
      <c r="K197" s="34" t="s">
        <v>48</v>
      </c>
    </row>
    <row r="198">
      <c r="A198" s="35" t="s">
        <v>48</v>
      </c>
      <c r="B198" s="34" t="s">
        <v>48</v>
      </c>
      <c r="C198" s="35" t="s">
        <v>48</v>
      </c>
      <c r="D198" s="35" t="s">
        <v>52</v>
      </c>
      <c r="E198" s="34" t="s">
        <v>283</v>
      </c>
      <c r="F198" s="35" t="s">
        <v>48</v>
      </c>
      <c r="G198" s="34" t="s">
        <v>48</v>
      </c>
      <c r="H198" s="34" t="s">
        <v>284</v>
      </c>
      <c r="I198" s="35" t="n">
        <v>5.0</v>
      </c>
      <c r="J198" s="35" t="n">
        <v>1.0</v>
      </c>
      <c r="K198" s="37" t="n">
        <v>1.5</v>
      </c>
    </row>
    <row r="199">
      <c r="A199" s="35" t="s">
        <v>48</v>
      </c>
      <c r="B199" s="34" t="s">
        <v>48</v>
      </c>
      <c r="C199" s="35" t="s">
        <v>48</v>
      </c>
      <c r="D199" s="35" t="s">
        <v>52</v>
      </c>
      <c r="E199" s="34" t="s">
        <v>285</v>
      </c>
      <c r="F199" s="35" t="s">
        <v>48</v>
      </c>
      <c r="G199" s="34" t="s">
        <v>48</v>
      </c>
      <c r="H199" s="34" t="s">
        <v>286</v>
      </c>
      <c r="I199" s="35" t="n">
        <v>5.0</v>
      </c>
      <c r="J199" s="35" t="n">
        <v>1.0</v>
      </c>
      <c r="K199" s="37" t="n">
        <v>0.5</v>
      </c>
    </row>
    <row r="200">
      <c r="A200" s="35" t="s">
        <v>48</v>
      </c>
      <c r="B200" s="34" t="s">
        <v>48</v>
      </c>
      <c r="C200" s="35" t="s">
        <v>48</v>
      </c>
      <c r="D200" s="35" t="s">
        <v>52</v>
      </c>
      <c r="E200" s="34" t="s">
        <v>287</v>
      </c>
      <c r="F200" s="35" t="s">
        <v>48</v>
      </c>
      <c r="G200" s="34" t="s">
        <v>48</v>
      </c>
      <c r="H200" s="34" t="s">
        <v>288</v>
      </c>
      <c r="I200" s="35" t="n">
        <v>5.0</v>
      </c>
      <c r="J200" s="35" t="n">
        <v>1.0</v>
      </c>
      <c r="K200" s="37" t="n">
        <v>0.25</v>
      </c>
    </row>
    <row r="201">
      <c r="A201" s="35" t="s">
        <v>48</v>
      </c>
      <c r="B201" s="34" t="s">
        <v>48</v>
      </c>
      <c r="C201" s="35" t="s">
        <v>48</v>
      </c>
      <c r="D201" s="35" t="s">
        <v>52</v>
      </c>
      <c r="E201" s="34" t="s">
        <v>289</v>
      </c>
      <c r="F201" s="35" t="s">
        <v>48</v>
      </c>
      <c r="G201" s="34" t="s">
        <v>48</v>
      </c>
      <c r="H201" s="34" t="s">
        <v>290</v>
      </c>
      <c r="I201" s="35" t="n">
        <v>5.0</v>
      </c>
      <c r="J201" s="35" t="n">
        <v>1.0</v>
      </c>
      <c r="K201" s="37" t="n">
        <v>0.5</v>
      </c>
    </row>
    <row r="202">
      <c r="A202" s="35" t="s">
        <v>291</v>
      </c>
      <c r="B202" s="34" t="s">
        <v>292</v>
      </c>
      <c r="C202" s="35" t="s">
        <v>236</v>
      </c>
      <c r="D202" s="34" t="s">
        <v>48</v>
      </c>
      <c r="E202" s="34" t="s">
        <v>48</v>
      </c>
      <c r="F202" s="34" t="s">
        <v>48</v>
      </c>
      <c r="G202" s="34" t="s">
        <v>48</v>
      </c>
      <c r="H202" s="34" t="s">
        <v>48</v>
      </c>
      <c r="I202" s="34" t="s">
        <v>48</v>
      </c>
      <c r="J202" s="34" t="s">
        <v>48</v>
      </c>
      <c r="K202" s="34" t="s">
        <v>48</v>
      </c>
    </row>
    <row r="203">
      <c r="A203" s="35" t="s">
        <v>48</v>
      </c>
      <c r="B203" s="34" t="s">
        <v>48</v>
      </c>
      <c r="C203" s="35" t="s">
        <v>48</v>
      </c>
      <c r="D203" s="35" t="s">
        <v>52</v>
      </c>
      <c r="E203" s="34" t="s">
        <v>293</v>
      </c>
      <c r="F203" s="35" t="s">
        <v>48</v>
      </c>
      <c r="G203" s="34" t="s">
        <v>48</v>
      </c>
      <c r="H203" s="34" t="s">
        <v>294</v>
      </c>
      <c r="I203" s="35" t="n">
        <v>5.0</v>
      </c>
      <c r="J203" s="35" t="n">
        <v>1.0</v>
      </c>
      <c r="K203" s="37" t="n">
        <v>1.0</v>
      </c>
    </row>
    <row r="204">
      <c r="A204" s="35" t="s">
        <v>48</v>
      </c>
      <c r="B204" s="34" t="s">
        <v>48</v>
      </c>
      <c r="C204" s="35" t="s">
        <v>48</v>
      </c>
      <c r="D204" s="35" t="s">
        <v>52</v>
      </c>
      <c r="E204" s="34" t="s">
        <v>295</v>
      </c>
      <c r="F204" s="35" t="s">
        <v>48</v>
      </c>
      <c r="G204" s="34" t="s">
        <v>48</v>
      </c>
      <c r="H204" s="34" t="s">
        <v>296</v>
      </c>
      <c r="I204" s="35" t="n">
        <v>5.0</v>
      </c>
      <c r="J204" s="35" t="n">
        <v>1.0</v>
      </c>
      <c r="K204" s="37" t="n">
        <v>0.25</v>
      </c>
    </row>
    <row r="205">
      <c r="A205" s="35" t="s">
        <v>48</v>
      </c>
      <c r="B205" s="34" t="s">
        <v>48</v>
      </c>
      <c r="C205" s="35" t="s">
        <v>48</v>
      </c>
      <c r="D205" s="35" t="s">
        <v>52</v>
      </c>
      <c r="E205" s="34" t="s">
        <v>297</v>
      </c>
      <c r="F205" s="35" t="s">
        <v>48</v>
      </c>
      <c r="G205" s="34" t="s">
        <v>48</v>
      </c>
      <c r="H205" s="34" t="s">
        <v>298</v>
      </c>
      <c r="I205" s="35" t="n">
        <v>5.0</v>
      </c>
      <c r="J205" s="35" t="n">
        <v>1.0</v>
      </c>
      <c r="K205" s="37" t="n">
        <v>0.25</v>
      </c>
    </row>
    <row r="206">
      <c r="A206" s="35" t="s">
        <v>48</v>
      </c>
      <c r="B206" s="34" t="s">
        <v>48</v>
      </c>
      <c r="C206" s="35" t="s">
        <v>48</v>
      </c>
      <c r="D206" s="35" t="s">
        <v>52</v>
      </c>
      <c r="E206" s="34" t="s">
        <v>299</v>
      </c>
      <c r="F206" s="35" t="s">
        <v>48</v>
      </c>
      <c r="G206" s="34" t="s">
        <v>48</v>
      </c>
      <c r="H206" s="34" t="s">
        <v>300</v>
      </c>
      <c r="I206" s="35" t="n">
        <v>5.0</v>
      </c>
      <c r="J206" s="35" t="n">
        <v>1.0</v>
      </c>
      <c r="K206" s="37" t="n">
        <v>0.25</v>
      </c>
    </row>
    <row r="207">
      <c r="A207" s="35" t="s">
        <v>48</v>
      </c>
      <c r="B207" s="34" t="s">
        <v>48</v>
      </c>
      <c r="C207" s="35" t="s">
        <v>48</v>
      </c>
      <c r="D207" s="35" t="s">
        <v>52</v>
      </c>
      <c r="E207" s="34" t="s">
        <v>301</v>
      </c>
      <c r="F207" s="35" t="s">
        <v>48</v>
      </c>
      <c r="G207" s="34" t="s">
        <v>48</v>
      </c>
      <c r="H207" s="34" t="s">
        <v>302</v>
      </c>
      <c r="I207" s="35" t="n">
        <v>5.0</v>
      </c>
      <c r="J207" s="35" t="n">
        <v>1.0</v>
      </c>
      <c r="K207" s="37" t="n">
        <v>0.25</v>
      </c>
    </row>
    <row r="208">
      <c r="A208" s="35" t="s">
        <v>48</v>
      </c>
      <c r="B208" s="34" t="s">
        <v>48</v>
      </c>
      <c r="C208" s="35" t="s">
        <v>48</v>
      </c>
      <c r="D208" s="35" t="s">
        <v>48</v>
      </c>
      <c r="E208" s="34" t="s">
        <v>48</v>
      </c>
      <c r="F208" s="35" t="s">
        <v>48</v>
      </c>
      <c r="G208" s="34" t="s">
        <v>48</v>
      </c>
      <c r="H208" s="34" t="s">
        <v>48</v>
      </c>
      <c r="I208" s="35"/>
      <c r="J208" s="35"/>
      <c r="K208" s="37"/>
    </row>
    <row r="209">
      <c r="A209" s="35" t="s">
        <v>48</v>
      </c>
      <c r="B209" s="34" t="s">
        <v>48</v>
      </c>
      <c r="C209" s="35" t="s">
        <v>48</v>
      </c>
      <c r="D209" s="35" t="s">
        <v>48</v>
      </c>
      <c r="E209" s="34" t="s">
        <v>48</v>
      </c>
      <c r="F209" s="35" t="s">
        <v>48</v>
      </c>
      <c r="G209" s="34" t="s">
        <v>48</v>
      </c>
      <c r="H209" s="34" t="s">
        <v>48</v>
      </c>
      <c r="I209" s="35"/>
      <c r="J209" s="35"/>
      <c r="K209" s="37"/>
    </row>
    <row r="210">
      <c r="A210" s="72" t="s">
        <v>15</v>
      </c>
      <c r="B210" s="73" t="s">
        <v>16</v>
      </c>
      <c r="C210" s="74" t="s">
        <v>10</v>
      </c>
      <c r="D210" s="75" t="s">
        <v>6</v>
      </c>
      <c r="E210" s="76" t="s">
        <v>1</v>
      </c>
      <c r="F210" s="77" t="s">
        <v>2</v>
      </c>
      <c r="G210" s="78" t="s">
        <v>8</v>
      </c>
      <c r="H210" s="79" t="s">
        <v>9</v>
      </c>
      <c r="I210" s="80" t="s">
        <v>23</v>
      </c>
      <c r="J210" s="81" t="s">
        <v>11</v>
      </c>
      <c r="K210" s="82" t="s">
        <v>3</v>
      </c>
      <c r="L210" s="83" t="s">
        <v>303</v>
      </c>
      <c r="M210" s="84" t="s">
        <v>4</v>
      </c>
      <c r="N210" s="85">
        <f>SUM(K211:K291)</f>
      </c>
    </row>
    <row r="211">
      <c r="A211" s="35" t="s">
        <v>304</v>
      </c>
      <c r="B211" s="34" t="s">
        <v>305</v>
      </c>
      <c r="C211" s="35" t="s">
        <v>236</v>
      </c>
      <c r="D211" s="34" t="s">
        <v>48</v>
      </c>
      <c r="E211" s="34" t="s">
        <v>48</v>
      </c>
      <c r="F211" s="34" t="s">
        <v>48</v>
      </c>
      <c r="G211" s="34" t="s">
        <v>48</v>
      </c>
      <c r="H211" s="34" t="s">
        <v>48</v>
      </c>
      <c r="I211" s="34" t="s">
        <v>48</v>
      </c>
      <c r="J211" s="34" t="s">
        <v>48</v>
      </c>
      <c r="K211" s="34" t="s">
        <v>48</v>
      </c>
    </row>
    <row r="212">
      <c r="A212" s="35" t="s">
        <v>48</v>
      </c>
      <c r="B212" s="34" t="s">
        <v>48</v>
      </c>
      <c r="C212" s="35" t="s">
        <v>48</v>
      </c>
      <c r="D212" s="35" t="s">
        <v>52</v>
      </c>
      <c r="E212" s="34" t="s">
        <v>306</v>
      </c>
      <c r="F212" s="35" t="s">
        <v>48</v>
      </c>
      <c r="G212" s="34" t="s">
        <v>48</v>
      </c>
      <c r="H212" s="34" t="s">
        <v>48</v>
      </c>
      <c r="I212" s="35" t="n">
        <v>4.0</v>
      </c>
      <c r="J212" s="35" t="n">
        <v>1.0</v>
      </c>
      <c r="K212" s="37" t="n">
        <v>0.25</v>
      </c>
    </row>
    <row r="213">
      <c r="A213" s="35" t="s">
        <v>48</v>
      </c>
      <c r="B213" s="34" t="s">
        <v>48</v>
      </c>
      <c r="C213" s="35" t="s">
        <v>48</v>
      </c>
      <c r="D213" s="35" t="s">
        <v>52</v>
      </c>
      <c r="E213" s="34" t="s">
        <v>307</v>
      </c>
      <c r="F213" s="35" t="s">
        <v>48</v>
      </c>
      <c r="G213" s="34" t="s">
        <v>48</v>
      </c>
      <c r="H213" s="34" t="s">
        <v>48</v>
      </c>
      <c r="I213" s="35" t="n">
        <v>4.0</v>
      </c>
      <c r="J213" s="35" t="n">
        <v>1.0</v>
      </c>
      <c r="K213" s="37" t="n">
        <v>0.25</v>
      </c>
    </row>
    <row r="214">
      <c r="A214" s="35" t="s">
        <v>48</v>
      </c>
      <c r="B214" s="34" t="s">
        <v>48</v>
      </c>
      <c r="C214" s="35" t="s">
        <v>48</v>
      </c>
      <c r="D214" s="35" t="s">
        <v>52</v>
      </c>
      <c r="E214" s="34" t="s">
        <v>308</v>
      </c>
      <c r="F214" s="35" t="s">
        <v>48</v>
      </c>
      <c r="G214" s="34" t="s">
        <v>48</v>
      </c>
      <c r="H214" s="34" t="s">
        <v>48</v>
      </c>
      <c r="I214" s="35" t="n">
        <v>4.0</v>
      </c>
      <c r="J214" s="35" t="n">
        <v>1.0</v>
      </c>
      <c r="K214" s="37" t="n">
        <v>0.5</v>
      </c>
    </row>
    <row r="215">
      <c r="A215" s="35" t="s">
        <v>48</v>
      </c>
      <c r="B215" s="34" t="s">
        <v>48</v>
      </c>
      <c r="C215" s="35" t="s">
        <v>48</v>
      </c>
      <c r="D215" s="35" t="s">
        <v>52</v>
      </c>
      <c r="E215" s="34" t="s">
        <v>309</v>
      </c>
      <c r="F215" s="35" t="s">
        <v>48</v>
      </c>
      <c r="G215" s="34" t="s">
        <v>48</v>
      </c>
      <c r="H215" s="34" t="s">
        <v>48</v>
      </c>
      <c r="I215" s="35" t="n">
        <v>4.0</v>
      </c>
      <c r="J215" s="35" t="n">
        <v>1.0</v>
      </c>
      <c r="K215" s="37" t="n">
        <v>0.5</v>
      </c>
    </row>
    <row r="216">
      <c r="A216" s="35" t="s">
        <v>48</v>
      </c>
      <c r="B216" s="34" t="s">
        <v>48</v>
      </c>
      <c r="C216" s="35" t="s">
        <v>48</v>
      </c>
      <c r="D216" s="35" t="s">
        <v>52</v>
      </c>
      <c r="E216" s="34" t="s">
        <v>310</v>
      </c>
      <c r="F216" s="35" t="s">
        <v>48</v>
      </c>
      <c r="G216" s="34" t="s">
        <v>311</v>
      </c>
      <c r="H216" s="34" t="s">
        <v>48</v>
      </c>
      <c r="I216" s="35" t="n">
        <v>4.0</v>
      </c>
      <c r="J216" s="35" t="n">
        <v>1.0</v>
      </c>
      <c r="K216" s="37" t="n">
        <v>0.5</v>
      </c>
    </row>
    <row r="217">
      <c r="A217" s="35" t="s">
        <v>48</v>
      </c>
      <c r="B217" s="34" t="s">
        <v>48</v>
      </c>
      <c r="C217" s="35" t="s">
        <v>48</v>
      </c>
      <c r="D217" s="35" t="s">
        <v>52</v>
      </c>
      <c r="E217" s="34" t="s">
        <v>312</v>
      </c>
      <c r="F217" s="35" t="s">
        <v>48</v>
      </c>
      <c r="G217" s="34" t="s">
        <v>48</v>
      </c>
      <c r="H217" s="34" t="s">
        <v>48</v>
      </c>
      <c r="I217" s="35" t="n">
        <v>4.0</v>
      </c>
      <c r="J217" s="35" t="n">
        <v>1.0</v>
      </c>
      <c r="K217" s="37" t="n">
        <v>0.25</v>
      </c>
    </row>
    <row r="218">
      <c r="A218" s="35" t="s">
        <v>48</v>
      </c>
      <c r="B218" s="34" t="s">
        <v>48</v>
      </c>
      <c r="C218" s="35" t="s">
        <v>48</v>
      </c>
      <c r="D218" s="35" t="s">
        <v>52</v>
      </c>
      <c r="E218" s="34" t="s">
        <v>313</v>
      </c>
      <c r="F218" s="35" t="s">
        <v>48</v>
      </c>
      <c r="G218" s="34" t="s">
        <v>48</v>
      </c>
      <c r="H218" s="34" t="s">
        <v>48</v>
      </c>
      <c r="I218" s="35" t="n">
        <v>4.0</v>
      </c>
      <c r="J218" s="35" t="n">
        <v>1.0</v>
      </c>
      <c r="K218" s="37" t="n">
        <v>0.25</v>
      </c>
    </row>
    <row r="219">
      <c r="A219" s="35" t="s">
        <v>48</v>
      </c>
      <c r="B219" s="34" t="s">
        <v>48</v>
      </c>
      <c r="C219" s="35" t="s">
        <v>48</v>
      </c>
      <c r="D219" s="35" t="s">
        <v>52</v>
      </c>
      <c r="E219" s="34" t="s">
        <v>314</v>
      </c>
      <c r="F219" s="35" t="s">
        <v>48</v>
      </c>
      <c r="G219" s="34" t="s">
        <v>48</v>
      </c>
      <c r="H219" s="34" t="s">
        <v>48</v>
      </c>
      <c r="I219" s="35" t="n">
        <v>4.0</v>
      </c>
      <c r="J219" s="35" t="n">
        <v>1.0</v>
      </c>
      <c r="K219" s="37" t="n">
        <v>0.25</v>
      </c>
    </row>
    <row r="220">
      <c r="A220" s="35" t="s">
        <v>48</v>
      </c>
      <c r="B220" s="34" t="s">
        <v>48</v>
      </c>
      <c r="C220" s="35" t="s">
        <v>48</v>
      </c>
      <c r="D220" s="35" t="s">
        <v>52</v>
      </c>
      <c r="E220" s="34" t="s">
        <v>315</v>
      </c>
      <c r="F220" s="35" t="s">
        <v>48</v>
      </c>
      <c r="G220" s="34" t="s">
        <v>316</v>
      </c>
      <c r="H220" s="34" t="s">
        <v>48</v>
      </c>
      <c r="I220" s="35" t="n">
        <v>4.0</v>
      </c>
      <c r="J220" s="35" t="n">
        <v>1.0</v>
      </c>
      <c r="K220" s="37" t="n">
        <v>0.25</v>
      </c>
    </row>
    <row r="221">
      <c r="A221" s="35" t="s">
        <v>48</v>
      </c>
      <c r="B221" s="34" t="s">
        <v>48</v>
      </c>
      <c r="C221" s="35" t="s">
        <v>48</v>
      </c>
      <c r="D221" s="35" t="s">
        <v>52</v>
      </c>
      <c r="E221" s="34" t="s">
        <v>317</v>
      </c>
      <c r="F221" s="35" t="s">
        <v>48</v>
      </c>
      <c r="G221" s="34" t="s">
        <v>318</v>
      </c>
      <c r="H221" s="34" t="s">
        <v>48</v>
      </c>
      <c r="I221" s="35" t="n">
        <v>4.0</v>
      </c>
      <c r="J221" s="35" t="n">
        <v>1.0</v>
      </c>
      <c r="K221" s="37" t="n">
        <v>0.25</v>
      </c>
    </row>
    <row r="222">
      <c r="A222" s="35" t="s">
        <v>319</v>
      </c>
      <c r="B222" s="34" t="s">
        <v>320</v>
      </c>
      <c r="C222" s="35" t="s">
        <v>236</v>
      </c>
      <c r="D222" s="34" t="s">
        <v>48</v>
      </c>
      <c r="E222" s="34" t="s">
        <v>48</v>
      </c>
      <c r="F222" s="34" t="s">
        <v>48</v>
      </c>
      <c r="G222" s="34" t="s">
        <v>48</v>
      </c>
      <c r="H222" s="34" t="s">
        <v>48</v>
      </c>
      <c r="I222" s="34" t="s">
        <v>48</v>
      </c>
      <c r="J222" s="34" t="s">
        <v>48</v>
      </c>
      <c r="K222" s="34" t="s">
        <v>48</v>
      </c>
    </row>
    <row r="223">
      <c r="A223" s="35" t="s">
        <v>48</v>
      </c>
      <c r="B223" s="34" t="s">
        <v>48</v>
      </c>
      <c r="C223" s="35" t="s">
        <v>48</v>
      </c>
      <c r="D223" s="35" t="s">
        <v>52</v>
      </c>
      <c r="E223" s="34" t="s">
        <v>321</v>
      </c>
      <c r="F223" s="35" t="s">
        <v>48</v>
      </c>
      <c r="G223" s="34" t="s">
        <v>322</v>
      </c>
      <c r="H223" s="34" t="s">
        <v>48</v>
      </c>
      <c r="I223" s="35" t="n">
        <v>4.0</v>
      </c>
      <c r="J223" s="35" t="n">
        <v>1.0</v>
      </c>
      <c r="K223" s="37" t="n">
        <v>0.5</v>
      </c>
    </row>
    <row r="224">
      <c r="A224" s="35" t="s">
        <v>48</v>
      </c>
      <c r="B224" s="34" t="s">
        <v>48</v>
      </c>
      <c r="C224" s="35" t="s">
        <v>48</v>
      </c>
      <c r="D224" s="35" t="s">
        <v>52</v>
      </c>
      <c r="E224" s="34" t="s">
        <v>323</v>
      </c>
      <c r="F224" s="35" t="s">
        <v>48</v>
      </c>
      <c r="G224" s="34" t="s">
        <v>324</v>
      </c>
      <c r="H224" s="34" t="s">
        <v>48</v>
      </c>
      <c r="I224" s="35" t="n">
        <v>4.0</v>
      </c>
      <c r="J224" s="35" t="n">
        <v>1.0</v>
      </c>
      <c r="K224" s="37" t="n">
        <v>0.75</v>
      </c>
    </row>
    <row r="225">
      <c r="A225" s="35" t="s">
        <v>48</v>
      </c>
      <c r="B225" s="34" t="s">
        <v>48</v>
      </c>
      <c r="C225" s="35" t="s">
        <v>48</v>
      </c>
      <c r="D225" s="35" t="s">
        <v>52</v>
      </c>
      <c r="E225" s="34" t="s">
        <v>325</v>
      </c>
      <c r="F225" s="35" t="s">
        <v>48</v>
      </c>
      <c r="G225" s="34" t="s">
        <v>326</v>
      </c>
      <c r="H225" s="34" t="s">
        <v>48</v>
      </c>
      <c r="I225" s="35" t="n">
        <v>4.0</v>
      </c>
      <c r="J225" s="35" t="n">
        <v>1.0</v>
      </c>
      <c r="K225" s="37" t="n">
        <v>0.25</v>
      </c>
    </row>
    <row r="226">
      <c r="A226" s="35" t="s">
        <v>48</v>
      </c>
      <c r="B226" s="34" t="s">
        <v>48</v>
      </c>
      <c r="C226" s="35" t="s">
        <v>48</v>
      </c>
      <c r="D226" s="35" t="s">
        <v>52</v>
      </c>
      <c r="E226" s="34" t="s">
        <v>327</v>
      </c>
      <c r="F226" s="35" t="s">
        <v>48</v>
      </c>
      <c r="G226" s="34" t="s">
        <v>328</v>
      </c>
      <c r="H226" s="34" t="s">
        <v>48</v>
      </c>
      <c r="I226" s="35" t="n">
        <v>4.0</v>
      </c>
      <c r="J226" s="35" t="n">
        <v>1.0</v>
      </c>
      <c r="K226" s="37" t="n">
        <v>0.25</v>
      </c>
    </row>
    <row r="227">
      <c r="A227" s="35" t="s">
        <v>48</v>
      </c>
      <c r="B227" s="34" t="s">
        <v>48</v>
      </c>
      <c r="C227" s="35" t="s">
        <v>48</v>
      </c>
      <c r="D227" s="35" t="s">
        <v>45</v>
      </c>
      <c r="E227" s="34" t="s">
        <v>329</v>
      </c>
      <c r="F227" s="35" t="s">
        <v>48</v>
      </c>
      <c r="G227" s="34" t="s">
        <v>48</v>
      </c>
      <c r="H227" s="34" t="s">
        <v>48</v>
      </c>
      <c r="I227" s="35" t="n">
        <v>3.0</v>
      </c>
      <c r="J227" s="35"/>
      <c r="K227" s="37" t="n">
        <v>1.0</v>
      </c>
    </row>
    <row r="228">
      <c r="A228" s="35" t="s">
        <v>48</v>
      </c>
      <c r="B228" s="34" t="s">
        <v>48</v>
      </c>
      <c r="C228" s="35" t="s">
        <v>48</v>
      </c>
      <c r="D228" s="35" t="s">
        <v>48</v>
      </c>
      <c r="E228" s="34" t="s">
        <v>48</v>
      </c>
      <c r="F228" s="35" t="n">
        <v>0.0</v>
      </c>
      <c r="G228" s="34" t="s">
        <v>330</v>
      </c>
      <c r="H228" s="34" t="s">
        <v>48</v>
      </c>
      <c r="I228" s="35"/>
      <c r="J228" s="35"/>
      <c r="K228" s="37"/>
    </row>
    <row r="229">
      <c r="A229" s="35" t="s">
        <v>48</v>
      </c>
      <c r="B229" s="34" t="s">
        <v>48</v>
      </c>
      <c r="C229" s="35" t="s">
        <v>48</v>
      </c>
      <c r="D229" s="35" t="s">
        <v>48</v>
      </c>
      <c r="E229" s="34" t="s">
        <v>48</v>
      </c>
      <c r="F229" s="35" t="n">
        <v>1.0</v>
      </c>
      <c r="G229" s="34" t="s">
        <v>331</v>
      </c>
      <c r="H229" s="34" t="s">
        <v>48</v>
      </c>
      <c r="I229" s="35"/>
      <c r="J229" s="35"/>
      <c r="K229" s="37"/>
    </row>
    <row r="230">
      <c r="A230" s="35" t="s">
        <v>48</v>
      </c>
      <c r="B230" s="34" t="s">
        <v>48</v>
      </c>
      <c r="C230" s="35" t="s">
        <v>48</v>
      </c>
      <c r="D230" s="35" t="s">
        <v>48</v>
      </c>
      <c r="E230" s="34" t="s">
        <v>48</v>
      </c>
      <c r="F230" s="35" t="n">
        <v>2.0</v>
      </c>
      <c r="G230" s="34" t="s">
        <v>332</v>
      </c>
      <c r="H230" s="34" t="s">
        <v>48</v>
      </c>
      <c r="I230" s="35"/>
      <c r="J230" s="35"/>
      <c r="K230" s="37"/>
    </row>
    <row r="231">
      <c r="A231" s="35" t="s">
        <v>48</v>
      </c>
      <c r="B231" s="34" t="s">
        <v>48</v>
      </c>
      <c r="C231" s="35" t="s">
        <v>48</v>
      </c>
      <c r="D231" s="35" t="s">
        <v>48</v>
      </c>
      <c r="E231" s="34" t="s">
        <v>48</v>
      </c>
      <c r="F231" s="35" t="n">
        <v>3.0</v>
      </c>
      <c r="G231" s="34" t="s">
        <v>333</v>
      </c>
      <c r="H231" s="34" t="s">
        <v>48</v>
      </c>
      <c r="I231" s="35"/>
      <c r="J231" s="35"/>
      <c r="K231" s="37"/>
    </row>
    <row r="232">
      <c r="A232" s="35" t="s">
        <v>334</v>
      </c>
      <c r="B232" s="34" t="s">
        <v>335</v>
      </c>
      <c r="C232" s="35" t="s">
        <v>236</v>
      </c>
      <c r="D232" s="34" t="s">
        <v>48</v>
      </c>
      <c r="E232" s="34" t="s">
        <v>48</v>
      </c>
      <c r="F232" s="34" t="s">
        <v>48</v>
      </c>
      <c r="G232" s="34" t="s">
        <v>48</v>
      </c>
      <c r="H232" s="34" t="s">
        <v>48</v>
      </c>
      <c r="I232" s="34" t="s">
        <v>48</v>
      </c>
      <c r="J232" s="34" t="s">
        <v>48</v>
      </c>
      <c r="K232" s="34" t="s">
        <v>48</v>
      </c>
    </row>
    <row r="233">
      <c r="A233" s="35" t="s">
        <v>48</v>
      </c>
      <c r="B233" s="34" t="s">
        <v>48</v>
      </c>
      <c r="C233" s="35" t="s">
        <v>48</v>
      </c>
      <c r="D233" s="35" t="s">
        <v>52</v>
      </c>
      <c r="E233" s="34" t="s">
        <v>336</v>
      </c>
      <c r="F233" s="35" t="s">
        <v>48</v>
      </c>
      <c r="G233" s="34" t="s">
        <v>48</v>
      </c>
      <c r="H233" s="34" t="s">
        <v>48</v>
      </c>
      <c r="I233" s="35" t="n">
        <v>4.0</v>
      </c>
      <c r="J233" s="35" t="n">
        <v>1.0</v>
      </c>
      <c r="K233" s="37" t="n">
        <v>0.1</v>
      </c>
    </row>
    <row r="234">
      <c r="A234" s="35" t="s">
        <v>48</v>
      </c>
      <c r="B234" s="34" t="s">
        <v>48</v>
      </c>
      <c r="C234" s="35" t="s">
        <v>48</v>
      </c>
      <c r="D234" s="35" t="s">
        <v>52</v>
      </c>
      <c r="E234" s="34" t="s">
        <v>337</v>
      </c>
      <c r="F234" s="35" t="s">
        <v>48</v>
      </c>
      <c r="G234" s="34" t="s">
        <v>48</v>
      </c>
      <c r="H234" s="34" t="s">
        <v>48</v>
      </c>
      <c r="I234" s="35" t="n">
        <v>4.0</v>
      </c>
      <c r="J234" s="35" t="n">
        <v>1.0</v>
      </c>
      <c r="K234" s="37" t="n">
        <v>0.1</v>
      </c>
    </row>
    <row r="235">
      <c r="A235" s="35" t="s">
        <v>48</v>
      </c>
      <c r="B235" s="34" t="s">
        <v>48</v>
      </c>
      <c r="C235" s="35" t="s">
        <v>48</v>
      </c>
      <c r="D235" s="35" t="s">
        <v>52</v>
      </c>
      <c r="E235" s="34" t="s">
        <v>338</v>
      </c>
      <c r="F235" s="35" t="s">
        <v>48</v>
      </c>
      <c r="G235" s="34" t="s">
        <v>48</v>
      </c>
      <c r="H235" s="34" t="s">
        <v>48</v>
      </c>
      <c r="I235" s="35" t="n">
        <v>4.0</v>
      </c>
      <c r="J235" s="35" t="n">
        <v>1.0</v>
      </c>
      <c r="K235" s="37" t="n">
        <v>0.1</v>
      </c>
    </row>
    <row r="236">
      <c r="A236" s="35" t="s">
        <v>48</v>
      </c>
      <c r="B236" s="34" t="s">
        <v>48</v>
      </c>
      <c r="C236" s="35" t="s">
        <v>48</v>
      </c>
      <c r="D236" s="35" t="s">
        <v>52</v>
      </c>
      <c r="E236" s="34" t="s">
        <v>339</v>
      </c>
      <c r="F236" s="35" t="s">
        <v>48</v>
      </c>
      <c r="G236" s="34" t="s">
        <v>48</v>
      </c>
      <c r="H236" s="34" t="s">
        <v>48</v>
      </c>
      <c r="I236" s="35" t="n">
        <v>4.0</v>
      </c>
      <c r="J236" s="35" t="n">
        <v>1.0</v>
      </c>
      <c r="K236" s="37" t="n">
        <v>0.15</v>
      </c>
    </row>
    <row r="237">
      <c r="A237" s="35" t="s">
        <v>48</v>
      </c>
      <c r="B237" s="34" t="s">
        <v>48</v>
      </c>
      <c r="C237" s="35" t="s">
        <v>48</v>
      </c>
      <c r="D237" s="35" t="s">
        <v>52</v>
      </c>
      <c r="E237" s="34" t="s">
        <v>340</v>
      </c>
      <c r="F237" s="35" t="s">
        <v>48</v>
      </c>
      <c r="G237" s="34" t="s">
        <v>48</v>
      </c>
      <c r="H237" s="34" t="s">
        <v>48</v>
      </c>
      <c r="I237" s="35" t="n">
        <v>4.0</v>
      </c>
      <c r="J237" s="35" t="n">
        <v>1.0</v>
      </c>
      <c r="K237" s="37" t="n">
        <v>0.1</v>
      </c>
    </row>
    <row r="238">
      <c r="A238" s="35" t="s">
        <v>48</v>
      </c>
      <c r="B238" s="34" t="s">
        <v>48</v>
      </c>
      <c r="C238" s="35" t="s">
        <v>48</v>
      </c>
      <c r="D238" s="35" t="s">
        <v>52</v>
      </c>
      <c r="E238" s="34" t="s">
        <v>341</v>
      </c>
      <c r="F238" s="35" t="s">
        <v>48</v>
      </c>
      <c r="G238" s="34" t="s">
        <v>48</v>
      </c>
      <c r="H238" s="34" t="s">
        <v>48</v>
      </c>
      <c r="I238" s="35" t="n">
        <v>4.0</v>
      </c>
      <c r="J238" s="35" t="n">
        <v>1.0</v>
      </c>
      <c r="K238" s="37" t="n">
        <v>0.1</v>
      </c>
    </row>
    <row r="239">
      <c r="A239" s="35" t="s">
        <v>48</v>
      </c>
      <c r="B239" s="34" t="s">
        <v>48</v>
      </c>
      <c r="C239" s="35" t="s">
        <v>48</v>
      </c>
      <c r="D239" s="35" t="s">
        <v>52</v>
      </c>
      <c r="E239" s="34" t="s">
        <v>342</v>
      </c>
      <c r="F239" s="35" t="s">
        <v>48</v>
      </c>
      <c r="G239" s="34" t="s">
        <v>48</v>
      </c>
      <c r="H239" s="34" t="s">
        <v>48</v>
      </c>
      <c r="I239" s="35" t="n">
        <v>4.0</v>
      </c>
      <c r="J239" s="35" t="n">
        <v>1.0</v>
      </c>
      <c r="K239" s="37" t="n">
        <v>0.1</v>
      </c>
    </row>
    <row r="240">
      <c r="A240" s="35" t="s">
        <v>48</v>
      </c>
      <c r="B240" s="34" t="s">
        <v>48</v>
      </c>
      <c r="C240" s="35" t="s">
        <v>48</v>
      </c>
      <c r="D240" s="35" t="s">
        <v>52</v>
      </c>
      <c r="E240" s="34" t="s">
        <v>343</v>
      </c>
      <c r="F240" s="35" t="s">
        <v>48</v>
      </c>
      <c r="G240" s="34" t="s">
        <v>48</v>
      </c>
      <c r="H240" s="34" t="s">
        <v>48</v>
      </c>
      <c r="I240" s="35" t="n">
        <v>4.0</v>
      </c>
      <c r="J240" s="35" t="n">
        <v>1.0</v>
      </c>
      <c r="K240" s="37" t="n">
        <v>0.1</v>
      </c>
    </row>
    <row r="241">
      <c r="A241" s="35" t="s">
        <v>48</v>
      </c>
      <c r="B241" s="34" t="s">
        <v>48</v>
      </c>
      <c r="C241" s="35" t="s">
        <v>48</v>
      </c>
      <c r="D241" s="35" t="s">
        <v>52</v>
      </c>
      <c r="E241" s="34" t="s">
        <v>344</v>
      </c>
      <c r="F241" s="35" t="s">
        <v>48</v>
      </c>
      <c r="G241" s="34" t="s">
        <v>345</v>
      </c>
      <c r="H241" s="34" t="s">
        <v>48</v>
      </c>
      <c r="I241" s="35" t="n">
        <v>4.0</v>
      </c>
      <c r="J241" s="35" t="n">
        <v>1.0</v>
      </c>
      <c r="K241" s="37" t="n">
        <v>0.25</v>
      </c>
    </row>
    <row r="242">
      <c r="A242" s="35" t="s">
        <v>48</v>
      </c>
      <c r="B242" s="34" t="s">
        <v>48</v>
      </c>
      <c r="C242" s="35" t="s">
        <v>48</v>
      </c>
      <c r="D242" s="35" t="s">
        <v>52</v>
      </c>
      <c r="E242" s="34" t="s">
        <v>349</v>
      </c>
      <c r="F242" s="35" t="s">
        <v>48</v>
      </c>
      <c r="G242" s="34" t="s">
        <v>350</v>
      </c>
      <c r="H242" s="34" t="s">
        <v>48</v>
      </c>
      <c r="I242" s="35" t="n">
        <v>4.0</v>
      </c>
      <c r="J242" s="35" t="n">
        <v>6.0</v>
      </c>
      <c r="K242" s="37" t="n">
        <v>0.25</v>
      </c>
    </row>
    <row r="243">
      <c r="A243" s="35" t="s">
        <v>48</v>
      </c>
      <c r="B243" s="34" t="s">
        <v>48</v>
      </c>
      <c r="C243" s="35" t="s">
        <v>48</v>
      </c>
      <c r="D243" s="35" t="s">
        <v>52</v>
      </c>
      <c r="E243" s="34" t="s">
        <v>351</v>
      </c>
      <c r="F243" s="35" t="s">
        <v>48</v>
      </c>
      <c r="G243" s="34" t="s">
        <v>352</v>
      </c>
      <c r="H243" s="34" t="s">
        <v>48</v>
      </c>
      <c r="I243" s="35" t="n">
        <v>4.0</v>
      </c>
      <c r="J243" s="35" t="n">
        <v>1.0</v>
      </c>
      <c r="K243" s="37" t="n">
        <v>0.25</v>
      </c>
    </row>
    <row r="244">
      <c r="A244" s="35" t="s">
        <v>48</v>
      </c>
      <c r="B244" s="34" t="s">
        <v>48</v>
      </c>
      <c r="C244" s="35" t="s">
        <v>48</v>
      </c>
      <c r="D244" s="35" t="s">
        <v>52</v>
      </c>
      <c r="E244" s="34" t="s">
        <v>353</v>
      </c>
      <c r="F244" s="35" t="s">
        <v>48</v>
      </c>
      <c r="G244" s="34" t="s">
        <v>48</v>
      </c>
      <c r="H244" s="34" t="s">
        <v>48</v>
      </c>
      <c r="I244" s="35" t="n">
        <v>4.0</v>
      </c>
      <c r="J244" s="35" t="n">
        <v>1.0</v>
      </c>
      <c r="K244" s="37" t="n">
        <v>0.25</v>
      </c>
    </row>
    <row r="245">
      <c r="A245" s="35" t="s">
        <v>48</v>
      </c>
      <c r="B245" s="34" t="s">
        <v>48</v>
      </c>
      <c r="C245" s="35" t="s">
        <v>48</v>
      </c>
      <c r="D245" s="35" t="s">
        <v>52</v>
      </c>
      <c r="E245" s="34" t="s">
        <v>354</v>
      </c>
      <c r="F245" s="35" t="s">
        <v>48</v>
      </c>
      <c r="G245" s="34" t="s">
        <v>48</v>
      </c>
      <c r="H245" s="34" t="s">
        <v>48</v>
      </c>
      <c r="I245" s="35" t="n">
        <v>4.0</v>
      </c>
      <c r="J245" s="35" t="n">
        <v>1.0</v>
      </c>
      <c r="K245" s="37" t="n">
        <v>0.25</v>
      </c>
    </row>
    <row r="246">
      <c r="A246" s="35" t="s">
        <v>48</v>
      </c>
      <c r="B246" s="34" t="s">
        <v>48</v>
      </c>
      <c r="C246" s="35" t="s">
        <v>48</v>
      </c>
      <c r="D246" s="35" t="s">
        <v>52</v>
      </c>
      <c r="E246" s="34" t="s">
        <v>355</v>
      </c>
      <c r="F246" s="35" t="s">
        <v>48</v>
      </c>
      <c r="G246" s="34" t="s">
        <v>48</v>
      </c>
      <c r="H246" s="34" t="s">
        <v>48</v>
      </c>
      <c r="I246" s="35" t="n">
        <v>4.0</v>
      </c>
      <c r="J246" s="35" t="n">
        <v>1.0</v>
      </c>
      <c r="K246" s="37" t="n">
        <v>0.25</v>
      </c>
    </row>
    <row r="247">
      <c r="A247" s="35" t="s">
        <v>48</v>
      </c>
      <c r="B247" s="34" t="s">
        <v>48</v>
      </c>
      <c r="C247" s="35" t="s">
        <v>48</v>
      </c>
      <c r="D247" s="35" t="s">
        <v>45</v>
      </c>
      <c r="E247" s="34" t="s">
        <v>356</v>
      </c>
      <c r="F247" s="35" t="s">
        <v>48</v>
      </c>
      <c r="G247" s="34" t="s">
        <v>48</v>
      </c>
      <c r="H247" s="34" t="s">
        <v>48</v>
      </c>
      <c r="I247" s="35" t="n">
        <v>3.0</v>
      </c>
      <c r="J247" s="35"/>
      <c r="K247" s="37" t="n">
        <v>2.0</v>
      </c>
    </row>
    <row r="248">
      <c r="A248" s="35" t="s">
        <v>48</v>
      </c>
      <c r="B248" s="34" t="s">
        <v>48</v>
      </c>
      <c r="C248" s="35" t="s">
        <v>48</v>
      </c>
      <c r="D248" s="35" t="s">
        <v>48</v>
      </c>
      <c r="E248" s="34" t="s">
        <v>48</v>
      </c>
      <c r="F248" s="35" t="n">
        <v>0.0</v>
      </c>
      <c r="G248" s="34" t="s">
        <v>357</v>
      </c>
      <c r="H248" s="34" t="s">
        <v>48</v>
      </c>
      <c r="I248" s="35"/>
      <c r="J248" s="35"/>
      <c r="K248" s="37"/>
    </row>
    <row r="249">
      <c r="A249" s="35" t="s">
        <v>48</v>
      </c>
      <c r="B249" s="34" t="s">
        <v>48</v>
      </c>
      <c r="C249" s="35" t="s">
        <v>48</v>
      </c>
      <c r="D249" s="35" t="s">
        <v>48</v>
      </c>
      <c r="E249" s="34" t="s">
        <v>48</v>
      </c>
      <c r="F249" s="35" t="n">
        <v>1.0</v>
      </c>
      <c r="G249" s="34" t="s">
        <v>358</v>
      </c>
      <c r="H249" s="34" t="s">
        <v>48</v>
      </c>
      <c r="I249" s="35"/>
      <c r="J249" s="35"/>
      <c r="K249" s="37"/>
    </row>
    <row r="250">
      <c r="A250" s="35" t="s">
        <v>48</v>
      </c>
      <c r="B250" s="34" t="s">
        <v>48</v>
      </c>
      <c r="C250" s="35" t="s">
        <v>48</v>
      </c>
      <c r="D250" s="35" t="s">
        <v>48</v>
      </c>
      <c r="E250" s="34" t="s">
        <v>48</v>
      </c>
      <c r="F250" s="35" t="n">
        <v>2.0</v>
      </c>
      <c r="G250" s="34" t="s">
        <v>359</v>
      </c>
      <c r="H250" s="34" t="s">
        <v>48</v>
      </c>
      <c r="I250" s="35"/>
      <c r="J250" s="35"/>
      <c r="K250" s="37"/>
    </row>
    <row r="251">
      <c r="A251" s="35" t="s">
        <v>48</v>
      </c>
      <c r="B251" s="34" t="s">
        <v>48</v>
      </c>
      <c r="C251" s="35" t="s">
        <v>48</v>
      </c>
      <c r="D251" s="35" t="s">
        <v>48</v>
      </c>
      <c r="E251" s="34" t="s">
        <v>48</v>
      </c>
      <c r="F251" s="35" t="n">
        <v>3.0</v>
      </c>
      <c r="G251" s="34" t="s">
        <v>360</v>
      </c>
      <c r="H251" s="34" t="s">
        <v>48</v>
      </c>
      <c r="I251" s="35"/>
      <c r="J251" s="35"/>
      <c r="K251" s="37"/>
    </row>
    <row r="252">
      <c r="A252" s="35" t="s">
        <v>361</v>
      </c>
      <c r="B252" s="34" t="s">
        <v>362</v>
      </c>
      <c r="C252" s="35" t="s">
        <v>236</v>
      </c>
      <c r="D252" s="34" t="s">
        <v>48</v>
      </c>
      <c r="E252" s="34" t="s">
        <v>48</v>
      </c>
      <c r="F252" s="34" t="s">
        <v>48</v>
      </c>
      <c r="G252" s="34" t="s">
        <v>48</v>
      </c>
      <c r="H252" s="34" t="s">
        <v>48</v>
      </c>
      <c r="I252" s="34" t="s">
        <v>48</v>
      </c>
      <c r="J252" s="34" t="s">
        <v>48</v>
      </c>
      <c r="K252" s="34" t="s">
        <v>48</v>
      </c>
    </row>
    <row r="253">
      <c r="A253" s="35" t="s">
        <v>48</v>
      </c>
      <c r="B253" s="34" t="s">
        <v>48</v>
      </c>
      <c r="C253" s="35" t="s">
        <v>48</v>
      </c>
      <c r="D253" s="35" t="s">
        <v>52</v>
      </c>
      <c r="E253" s="34" t="s">
        <v>363</v>
      </c>
      <c r="F253" s="35" t="s">
        <v>48</v>
      </c>
      <c r="G253" s="34" t="s">
        <v>48</v>
      </c>
      <c r="H253" s="34" t="s">
        <v>48</v>
      </c>
      <c r="I253" s="35" t="n">
        <v>4.0</v>
      </c>
      <c r="J253" s="35" t="n">
        <v>1.0</v>
      </c>
      <c r="K253" s="37" t="n">
        <v>0.5</v>
      </c>
    </row>
    <row r="254">
      <c r="A254" s="35" t="s">
        <v>48</v>
      </c>
      <c r="B254" s="34" t="s">
        <v>48</v>
      </c>
      <c r="C254" s="35" t="s">
        <v>48</v>
      </c>
      <c r="D254" s="35" t="s">
        <v>52</v>
      </c>
      <c r="E254" s="34" t="s">
        <v>364</v>
      </c>
      <c r="F254" s="35" t="s">
        <v>48</v>
      </c>
      <c r="G254" s="34" t="s">
        <v>365</v>
      </c>
      <c r="H254" s="34" t="s">
        <v>48</v>
      </c>
      <c r="I254" s="35" t="n">
        <v>4.0</v>
      </c>
      <c r="J254" s="35" t="n">
        <v>1.0</v>
      </c>
      <c r="K254" s="37" t="n">
        <v>0.25</v>
      </c>
    </row>
    <row r="255">
      <c r="A255" s="35" t="s">
        <v>48</v>
      </c>
      <c r="B255" s="34" t="s">
        <v>48</v>
      </c>
      <c r="C255" s="35" t="s">
        <v>48</v>
      </c>
      <c r="D255" s="35" t="s">
        <v>52</v>
      </c>
      <c r="E255" s="34" t="s">
        <v>366</v>
      </c>
      <c r="F255" s="35" t="s">
        <v>48</v>
      </c>
      <c r="G255" s="34" t="s">
        <v>367</v>
      </c>
      <c r="H255" s="34" t="s">
        <v>48</v>
      </c>
      <c r="I255" s="35" t="n">
        <v>4.0</v>
      </c>
      <c r="J255" s="35" t="n">
        <v>1.0</v>
      </c>
      <c r="K255" s="37" t="n">
        <v>0.25</v>
      </c>
    </row>
    <row r="256">
      <c r="A256" s="35" t="s">
        <v>48</v>
      </c>
      <c r="B256" s="34" t="s">
        <v>48</v>
      </c>
      <c r="C256" s="35" t="s">
        <v>48</v>
      </c>
      <c r="D256" s="35" t="s">
        <v>52</v>
      </c>
      <c r="E256" s="34" t="s">
        <v>368</v>
      </c>
      <c r="F256" s="35" t="s">
        <v>48</v>
      </c>
      <c r="G256" s="34" t="s">
        <v>369</v>
      </c>
      <c r="H256" s="34" t="s">
        <v>48</v>
      </c>
      <c r="I256" s="35" t="n">
        <v>4.0</v>
      </c>
      <c r="J256" s="35" t="n">
        <v>1.0</v>
      </c>
      <c r="K256" s="37" t="n">
        <v>0.5</v>
      </c>
    </row>
    <row r="257">
      <c r="A257" s="35" t="s">
        <v>370</v>
      </c>
      <c r="B257" s="34" t="s">
        <v>371</v>
      </c>
      <c r="C257" s="35" t="s">
        <v>236</v>
      </c>
      <c r="D257" s="34" t="s">
        <v>48</v>
      </c>
      <c r="E257" s="34" t="s">
        <v>48</v>
      </c>
      <c r="F257" s="34" t="s">
        <v>48</v>
      </c>
      <c r="G257" s="34" t="s">
        <v>48</v>
      </c>
      <c r="H257" s="34" t="s">
        <v>48</v>
      </c>
      <c r="I257" s="34" t="s">
        <v>48</v>
      </c>
      <c r="J257" s="34" t="s">
        <v>48</v>
      </c>
      <c r="K257" s="34" t="s">
        <v>48</v>
      </c>
    </row>
    <row r="258">
      <c r="A258" s="35" t="s">
        <v>48</v>
      </c>
      <c r="B258" s="34" t="s">
        <v>48</v>
      </c>
      <c r="C258" s="35" t="s">
        <v>48</v>
      </c>
      <c r="D258" s="35" t="s">
        <v>52</v>
      </c>
      <c r="E258" s="34" t="s">
        <v>372</v>
      </c>
      <c r="F258" s="35" t="s">
        <v>48</v>
      </c>
      <c r="G258" s="34" t="s">
        <v>373</v>
      </c>
      <c r="H258" s="34" t="s">
        <v>48</v>
      </c>
      <c r="I258" s="35" t="n">
        <v>4.0</v>
      </c>
      <c r="J258" s="35" t="n">
        <v>1.0</v>
      </c>
      <c r="K258" s="37" t="n">
        <v>0.5</v>
      </c>
    </row>
    <row r="259">
      <c r="A259" s="35" t="s">
        <v>48</v>
      </c>
      <c r="B259" s="34" t="s">
        <v>48</v>
      </c>
      <c r="C259" s="35" t="s">
        <v>48</v>
      </c>
      <c r="D259" s="35" t="s">
        <v>52</v>
      </c>
      <c r="E259" s="34" t="s">
        <v>374</v>
      </c>
      <c r="F259" s="35" t="s">
        <v>48</v>
      </c>
      <c r="G259" s="34" t="s">
        <v>375</v>
      </c>
      <c r="H259" s="34" t="s">
        <v>48</v>
      </c>
      <c r="I259" s="35" t="n">
        <v>4.0</v>
      </c>
      <c r="J259" s="35" t="n">
        <v>1.0</v>
      </c>
      <c r="K259" s="37" t="n">
        <v>0.5</v>
      </c>
    </row>
    <row r="260">
      <c r="A260" s="35" t="s">
        <v>48</v>
      </c>
      <c r="B260" s="34" t="s">
        <v>48</v>
      </c>
      <c r="C260" s="35" t="s">
        <v>48</v>
      </c>
      <c r="D260" s="35" t="s">
        <v>52</v>
      </c>
      <c r="E260" s="34" t="s">
        <v>376</v>
      </c>
      <c r="F260" s="35" t="s">
        <v>48</v>
      </c>
      <c r="G260" s="34" t="s">
        <v>377</v>
      </c>
      <c r="H260" s="34" t="s">
        <v>48</v>
      </c>
      <c r="I260" s="35" t="n">
        <v>4.0</v>
      </c>
      <c r="J260" s="35" t="n">
        <v>1.0</v>
      </c>
      <c r="K260" s="37" t="n">
        <v>0.75</v>
      </c>
    </row>
    <row r="261">
      <c r="A261" s="35" t="s">
        <v>48</v>
      </c>
      <c r="B261" s="34" t="s">
        <v>48</v>
      </c>
      <c r="C261" s="35" t="s">
        <v>48</v>
      </c>
      <c r="D261" s="35" t="s">
        <v>52</v>
      </c>
      <c r="E261" s="34" t="s">
        <v>378</v>
      </c>
      <c r="F261" s="35" t="s">
        <v>48</v>
      </c>
      <c r="G261" s="34" t="s">
        <v>379</v>
      </c>
      <c r="H261" s="34" t="s">
        <v>48</v>
      </c>
      <c r="I261" s="35" t="n">
        <v>4.0</v>
      </c>
      <c r="J261" s="35" t="n">
        <v>1.0</v>
      </c>
      <c r="K261" s="37" t="n">
        <v>0.15</v>
      </c>
    </row>
    <row r="262">
      <c r="A262" s="35" t="s">
        <v>48</v>
      </c>
      <c r="B262" s="34" t="s">
        <v>48</v>
      </c>
      <c r="C262" s="35" t="s">
        <v>48</v>
      </c>
      <c r="D262" s="35" t="s">
        <v>52</v>
      </c>
      <c r="E262" s="34" t="s">
        <v>380</v>
      </c>
      <c r="F262" s="35" t="s">
        <v>48</v>
      </c>
      <c r="G262" s="34" t="s">
        <v>381</v>
      </c>
      <c r="H262" s="34" t="s">
        <v>48</v>
      </c>
      <c r="I262" s="35" t="n">
        <v>4.0</v>
      </c>
      <c r="J262" s="35" t="n">
        <v>1.0</v>
      </c>
      <c r="K262" s="37" t="n">
        <v>0.15</v>
      </c>
    </row>
    <row r="263">
      <c r="A263" s="35" t="s">
        <v>48</v>
      </c>
      <c r="B263" s="34" t="s">
        <v>48</v>
      </c>
      <c r="C263" s="35" t="s">
        <v>48</v>
      </c>
      <c r="D263" s="35" t="s">
        <v>52</v>
      </c>
      <c r="E263" s="34" t="s">
        <v>382</v>
      </c>
      <c r="F263" s="35" t="s">
        <v>48</v>
      </c>
      <c r="G263" s="34" t="s">
        <v>383</v>
      </c>
      <c r="H263" s="34" t="s">
        <v>48</v>
      </c>
      <c r="I263" s="35" t="n">
        <v>4.0</v>
      </c>
      <c r="J263" s="35" t="n">
        <v>1.0</v>
      </c>
      <c r="K263" s="37" t="n">
        <v>0.25</v>
      </c>
    </row>
    <row r="264">
      <c r="A264" s="35" t="s">
        <v>48</v>
      </c>
      <c r="B264" s="34" t="s">
        <v>48</v>
      </c>
      <c r="C264" s="35" t="s">
        <v>48</v>
      </c>
      <c r="D264" s="35" t="s">
        <v>52</v>
      </c>
      <c r="E264" s="34" t="s">
        <v>384</v>
      </c>
      <c r="F264" s="35" t="s">
        <v>48</v>
      </c>
      <c r="G264" s="34" t="s">
        <v>48</v>
      </c>
      <c r="H264" s="34" t="s">
        <v>48</v>
      </c>
      <c r="I264" s="35" t="n">
        <v>4.0</v>
      </c>
      <c r="J264" s="35" t="n">
        <v>1.0</v>
      </c>
      <c r="K264" s="37" t="n">
        <v>0.2</v>
      </c>
    </row>
    <row r="265">
      <c r="A265" s="35" t="s">
        <v>385</v>
      </c>
      <c r="B265" s="34" t="s">
        <v>386</v>
      </c>
      <c r="C265" s="35" t="s">
        <v>236</v>
      </c>
      <c r="D265" s="34" t="s">
        <v>48</v>
      </c>
      <c r="E265" s="34" t="s">
        <v>48</v>
      </c>
      <c r="F265" s="34" t="s">
        <v>48</v>
      </c>
      <c r="G265" s="34" t="s">
        <v>48</v>
      </c>
      <c r="H265" s="34" t="s">
        <v>48</v>
      </c>
      <c r="I265" s="34" t="s">
        <v>48</v>
      </c>
      <c r="J265" s="34" t="s">
        <v>48</v>
      </c>
      <c r="K265" s="34" t="s">
        <v>48</v>
      </c>
    </row>
    <row r="266">
      <c r="A266" s="35" t="s">
        <v>48</v>
      </c>
      <c r="B266" s="34" t="s">
        <v>48</v>
      </c>
      <c r="C266" s="35" t="s">
        <v>48</v>
      </c>
      <c r="D266" s="35" t="s">
        <v>52</v>
      </c>
      <c r="E266" s="34" t="s">
        <v>387</v>
      </c>
      <c r="F266" s="35" t="s">
        <v>48</v>
      </c>
      <c r="G266" s="34" t="s">
        <v>48</v>
      </c>
      <c r="H266" s="34" t="s">
        <v>48</v>
      </c>
      <c r="I266" s="35" t="n">
        <v>4.0</v>
      </c>
      <c r="J266" s="35" t="n">
        <v>1.0</v>
      </c>
      <c r="K266" s="37" t="n">
        <v>0.25</v>
      </c>
    </row>
    <row r="267">
      <c r="A267" s="35" t="s">
        <v>48</v>
      </c>
      <c r="B267" s="34" t="s">
        <v>48</v>
      </c>
      <c r="C267" s="35" t="s">
        <v>48</v>
      </c>
      <c r="D267" s="35" t="s">
        <v>52</v>
      </c>
      <c r="E267" s="34" t="s">
        <v>388</v>
      </c>
      <c r="F267" s="35" t="s">
        <v>48</v>
      </c>
      <c r="G267" s="34" t="s">
        <v>48</v>
      </c>
      <c r="H267" s="34" t="s">
        <v>48</v>
      </c>
      <c r="I267" s="35" t="n">
        <v>4.0</v>
      </c>
      <c r="J267" s="35" t="n">
        <v>1.0</v>
      </c>
      <c r="K267" s="37" t="n">
        <v>0.1</v>
      </c>
    </row>
    <row r="268">
      <c r="A268" s="35" t="s">
        <v>48</v>
      </c>
      <c r="B268" s="34" t="s">
        <v>48</v>
      </c>
      <c r="C268" s="35" t="s">
        <v>48</v>
      </c>
      <c r="D268" s="35" t="s">
        <v>52</v>
      </c>
      <c r="E268" s="34" t="s">
        <v>389</v>
      </c>
      <c r="F268" s="35" t="s">
        <v>48</v>
      </c>
      <c r="G268" s="34" t="s">
        <v>48</v>
      </c>
      <c r="H268" s="34" t="s">
        <v>48</v>
      </c>
      <c r="I268" s="35" t="n">
        <v>4.0</v>
      </c>
      <c r="J268" s="35" t="n">
        <v>1.0</v>
      </c>
      <c r="K268" s="37" t="n">
        <v>0.1</v>
      </c>
    </row>
    <row r="269">
      <c r="A269" s="35" t="s">
        <v>48</v>
      </c>
      <c r="B269" s="34" t="s">
        <v>48</v>
      </c>
      <c r="C269" s="35" t="s">
        <v>48</v>
      </c>
      <c r="D269" s="35" t="s">
        <v>52</v>
      </c>
      <c r="E269" s="34" t="s">
        <v>390</v>
      </c>
      <c r="F269" s="35" t="s">
        <v>48</v>
      </c>
      <c r="G269" s="34" t="s">
        <v>48</v>
      </c>
      <c r="H269" s="34" t="s">
        <v>48</v>
      </c>
      <c r="I269" s="35" t="n">
        <v>4.0</v>
      </c>
      <c r="J269" s="35" t="n">
        <v>1.0</v>
      </c>
      <c r="K269" s="37" t="n">
        <v>0.15</v>
      </c>
    </row>
    <row r="270">
      <c r="A270" s="35" t="s">
        <v>48</v>
      </c>
      <c r="B270" s="34" t="s">
        <v>48</v>
      </c>
      <c r="C270" s="35" t="s">
        <v>48</v>
      </c>
      <c r="D270" s="35" t="s">
        <v>52</v>
      </c>
      <c r="E270" s="34" t="s">
        <v>391</v>
      </c>
      <c r="F270" s="35" t="s">
        <v>48</v>
      </c>
      <c r="G270" s="34" t="s">
        <v>48</v>
      </c>
      <c r="H270" s="34" t="s">
        <v>48</v>
      </c>
      <c r="I270" s="35" t="n">
        <v>4.0</v>
      </c>
      <c r="J270" s="35" t="n">
        <v>1.0</v>
      </c>
      <c r="K270" s="37" t="n">
        <v>0.15</v>
      </c>
    </row>
    <row r="271">
      <c r="A271" s="35" t="s">
        <v>48</v>
      </c>
      <c r="B271" s="34" t="s">
        <v>48</v>
      </c>
      <c r="C271" s="35" t="s">
        <v>48</v>
      </c>
      <c r="D271" s="35" t="s">
        <v>52</v>
      </c>
      <c r="E271" s="34" t="s">
        <v>392</v>
      </c>
      <c r="F271" s="35" t="s">
        <v>48</v>
      </c>
      <c r="G271" s="34" t="s">
        <v>393</v>
      </c>
      <c r="H271" s="34" t="s">
        <v>48</v>
      </c>
      <c r="I271" s="35" t="n">
        <v>4.0</v>
      </c>
      <c r="J271" s="35" t="n">
        <v>1.0</v>
      </c>
      <c r="K271" s="37" t="n">
        <v>0.5</v>
      </c>
    </row>
    <row r="272">
      <c r="A272" s="35" t="s">
        <v>48</v>
      </c>
      <c r="B272" s="34" t="s">
        <v>48</v>
      </c>
      <c r="C272" s="35" t="s">
        <v>48</v>
      </c>
      <c r="D272" s="35" t="s">
        <v>52</v>
      </c>
      <c r="E272" s="34" t="s">
        <v>394</v>
      </c>
      <c r="F272" s="35" t="s">
        <v>48</v>
      </c>
      <c r="G272" s="34" t="s">
        <v>395</v>
      </c>
      <c r="H272" s="34" t="s">
        <v>48</v>
      </c>
      <c r="I272" s="35" t="n">
        <v>4.0</v>
      </c>
      <c r="J272" s="35" t="n">
        <v>1.0</v>
      </c>
      <c r="K272" s="37" t="n">
        <v>0.5</v>
      </c>
    </row>
    <row r="273">
      <c r="A273" s="35" t="s">
        <v>396</v>
      </c>
      <c r="B273" s="34" t="s">
        <v>397</v>
      </c>
      <c r="C273" s="35" t="s">
        <v>236</v>
      </c>
      <c r="D273" s="34" t="s">
        <v>48</v>
      </c>
      <c r="E273" s="34" t="s">
        <v>48</v>
      </c>
      <c r="F273" s="34" t="s">
        <v>48</v>
      </c>
      <c r="G273" s="34" t="s">
        <v>48</v>
      </c>
      <c r="H273" s="34" t="s">
        <v>48</v>
      </c>
      <c r="I273" s="34" t="s">
        <v>48</v>
      </c>
      <c r="J273" s="34" t="s">
        <v>48</v>
      </c>
      <c r="K273" s="34" t="s">
        <v>48</v>
      </c>
    </row>
    <row r="274">
      <c r="A274" s="35" t="s">
        <v>48</v>
      </c>
      <c r="B274" s="34" t="s">
        <v>48</v>
      </c>
      <c r="C274" s="35" t="s">
        <v>48</v>
      </c>
      <c r="D274" s="35" t="s">
        <v>52</v>
      </c>
      <c r="E274" s="34" t="s">
        <v>398</v>
      </c>
      <c r="F274" s="35" t="s">
        <v>48</v>
      </c>
      <c r="G274" s="34" t="s">
        <v>399</v>
      </c>
      <c r="H274" s="34" t="s">
        <v>48</v>
      </c>
      <c r="I274" s="35" t="n">
        <v>4.0</v>
      </c>
      <c r="J274" s="35" t="n">
        <v>1.0</v>
      </c>
      <c r="K274" s="37" t="n">
        <v>0.75</v>
      </c>
    </row>
    <row r="275">
      <c r="A275" s="35" t="s">
        <v>48</v>
      </c>
      <c r="B275" s="34" t="s">
        <v>48</v>
      </c>
      <c r="C275" s="35" t="s">
        <v>48</v>
      </c>
      <c r="D275" s="35" t="s">
        <v>52</v>
      </c>
      <c r="E275" s="34" t="s">
        <v>400</v>
      </c>
      <c r="F275" s="35" t="s">
        <v>48</v>
      </c>
      <c r="G275" s="34" t="s">
        <v>401</v>
      </c>
      <c r="H275" s="34" t="s">
        <v>48</v>
      </c>
      <c r="I275" s="35" t="n">
        <v>4.0</v>
      </c>
      <c r="J275" s="35" t="n">
        <v>1.0</v>
      </c>
      <c r="K275" s="37" t="n">
        <v>0.25</v>
      </c>
    </row>
    <row r="276">
      <c r="A276" s="35" t="s">
        <v>402</v>
      </c>
      <c r="B276" s="34" t="s">
        <v>403</v>
      </c>
      <c r="C276" s="35" t="s">
        <v>236</v>
      </c>
      <c r="D276" s="34" t="s">
        <v>48</v>
      </c>
      <c r="E276" s="34" t="s">
        <v>48</v>
      </c>
      <c r="F276" s="34" t="s">
        <v>48</v>
      </c>
      <c r="G276" s="34" t="s">
        <v>48</v>
      </c>
      <c r="H276" s="34" t="s">
        <v>48</v>
      </c>
      <c r="I276" s="34" t="s">
        <v>48</v>
      </c>
      <c r="J276" s="34" t="s">
        <v>48</v>
      </c>
      <c r="K276" s="34" t="s">
        <v>48</v>
      </c>
    </row>
    <row r="277">
      <c r="A277" s="35" t="s">
        <v>48</v>
      </c>
      <c r="B277" s="34" t="s">
        <v>48</v>
      </c>
      <c r="C277" s="35" t="s">
        <v>48</v>
      </c>
      <c r="D277" s="35" t="s">
        <v>52</v>
      </c>
      <c r="E277" s="34" t="s">
        <v>404</v>
      </c>
      <c r="F277" s="35" t="s">
        <v>48</v>
      </c>
      <c r="G277" s="34" t="s">
        <v>405</v>
      </c>
      <c r="H277" s="34" t="s">
        <v>48</v>
      </c>
      <c r="I277" s="35" t="n">
        <v>4.0</v>
      </c>
      <c r="J277" s="35" t="n">
        <v>1.0</v>
      </c>
      <c r="K277" s="37" t="n">
        <v>0.75</v>
      </c>
    </row>
    <row r="278">
      <c r="A278" s="35" t="s">
        <v>48</v>
      </c>
      <c r="B278" s="34" t="s">
        <v>48</v>
      </c>
      <c r="C278" s="35" t="s">
        <v>48</v>
      </c>
      <c r="D278" s="35" t="s">
        <v>52</v>
      </c>
      <c r="E278" s="34" t="s">
        <v>406</v>
      </c>
      <c r="F278" s="35" t="s">
        <v>48</v>
      </c>
      <c r="G278" s="34" t="s">
        <v>48</v>
      </c>
      <c r="H278" s="34" t="s">
        <v>48</v>
      </c>
      <c r="I278" s="35" t="n">
        <v>4.0</v>
      </c>
      <c r="J278" s="35" t="n">
        <v>1.0</v>
      </c>
      <c r="K278" s="37" t="n">
        <v>0.25</v>
      </c>
    </row>
    <row r="279">
      <c r="A279" s="35" t="s">
        <v>48</v>
      </c>
      <c r="B279" s="34" t="s">
        <v>48</v>
      </c>
      <c r="C279" s="35" t="s">
        <v>48</v>
      </c>
      <c r="D279" s="35" t="s">
        <v>52</v>
      </c>
      <c r="E279" s="34" t="s">
        <v>407</v>
      </c>
      <c r="F279" s="35" t="s">
        <v>48</v>
      </c>
      <c r="G279" s="34" t="s">
        <v>408</v>
      </c>
      <c r="H279" s="34" t="s">
        <v>48</v>
      </c>
      <c r="I279" s="35" t="n">
        <v>4.0</v>
      </c>
      <c r="J279" s="35" t="n">
        <v>1.0</v>
      </c>
      <c r="K279" s="37" t="n">
        <v>0.5</v>
      </c>
    </row>
    <row r="280">
      <c r="A280" s="35" t="s">
        <v>48</v>
      </c>
      <c r="B280" s="34" t="s">
        <v>48</v>
      </c>
      <c r="C280" s="35" t="s">
        <v>48</v>
      </c>
      <c r="D280" s="35" t="s">
        <v>52</v>
      </c>
      <c r="E280" s="34" t="s">
        <v>409</v>
      </c>
      <c r="F280" s="35" t="s">
        <v>48</v>
      </c>
      <c r="G280" s="34" t="s">
        <v>410</v>
      </c>
      <c r="H280" s="34" t="s">
        <v>48</v>
      </c>
      <c r="I280" s="35" t="n">
        <v>4.0</v>
      </c>
      <c r="J280" s="35" t="n">
        <v>1.0</v>
      </c>
      <c r="K280" s="37" t="n">
        <v>0.5</v>
      </c>
    </row>
    <row r="281">
      <c r="A281" s="35" t="s">
        <v>411</v>
      </c>
      <c r="B281" s="34" t="s">
        <v>412</v>
      </c>
      <c r="C281" s="35" t="s">
        <v>236</v>
      </c>
      <c r="D281" s="34" t="s">
        <v>48</v>
      </c>
      <c r="E281" s="34" t="s">
        <v>48</v>
      </c>
      <c r="F281" s="34" t="s">
        <v>48</v>
      </c>
      <c r="G281" s="34" t="s">
        <v>48</v>
      </c>
      <c r="H281" s="34" t="s">
        <v>48</v>
      </c>
      <c r="I281" s="34" t="s">
        <v>48</v>
      </c>
      <c r="J281" s="34" t="s">
        <v>48</v>
      </c>
      <c r="K281" s="34" t="s">
        <v>48</v>
      </c>
    </row>
    <row r="282">
      <c r="A282" s="35" t="s">
        <v>48</v>
      </c>
      <c r="B282" s="34" t="s">
        <v>48</v>
      </c>
      <c r="C282" s="35" t="s">
        <v>48</v>
      </c>
      <c r="D282" s="35" t="s">
        <v>52</v>
      </c>
      <c r="E282" s="34" t="s">
        <v>413</v>
      </c>
      <c r="F282" s="35" t="s">
        <v>48</v>
      </c>
      <c r="G282" s="34" t="s">
        <v>414</v>
      </c>
      <c r="H282" s="34" t="s">
        <v>48</v>
      </c>
      <c r="I282" s="35" t="n">
        <v>4.0</v>
      </c>
      <c r="J282" s="35" t="n">
        <v>1.0</v>
      </c>
      <c r="K282" s="37" t="n">
        <v>0.25</v>
      </c>
    </row>
    <row r="283">
      <c r="A283" s="35" t="s">
        <v>48</v>
      </c>
      <c r="B283" s="34" t="s">
        <v>48</v>
      </c>
      <c r="C283" s="35" t="s">
        <v>48</v>
      </c>
      <c r="D283" s="35" t="s">
        <v>52</v>
      </c>
      <c r="E283" s="34" t="s">
        <v>415</v>
      </c>
      <c r="F283" s="35" t="s">
        <v>48</v>
      </c>
      <c r="G283" s="34" t="s">
        <v>416</v>
      </c>
      <c r="H283" s="34" t="s">
        <v>48</v>
      </c>
      <c r="I283" s="35" t="n">
        <v>4.0</v>
      </c>
      <c r="J283" s="35" t="n">
        <v>1.0</v>
      </c>
      <c r="K283" s="37" t="n">
        <v>0.25</v>
      </c>
    </row>
    <row r="284">
      <c r="A284" s="35" t="s">
        <v>48</v>
      </c>
      <c r="B284" s="34" t="s">
        <v>48</v>
      </c>
      <c r="C284" s="35" t="s">
        <v>48</v>
      </c>
      <c r="D284" s="35" t="s">
        <v>52</v>
      </c>
      <c r="E284" s="34" t="s">
        <v>417</v>
      </c>
      <c r="F284" s="35" t="s">
        <v>48</v>
      </c>
      <c r="G284" s="34" t="s">
        <v>418</v>
      </c>
      <c r="H284" s="34" t="s">
        <v>48</v>
      </c>
      <c r="I284" s="35" t="n">
        <v>4.0</v>
      </c>
      <c r="J284" s="35" t="n">
        <v>1.0</v>
      </c>
      <c r="K284" s="37" t="n">
        <v>0.4</v>
      </c>
    </row>
    <row r="285">
      <c r="A285" s="35" t="s">
        <v>48</v>
      </c>
      <c r="B285" s="34" t="s">
        <v>48</v>
      </c>
      <c r="C285" s="35" t="s">
        <v>48</v>
      </c>
      <c r="D285" s="35" t="s">
        <v>45</v>
      </c>
      <c r="E285" s="34" t="s">
        <v>419</v>
      </c>
      <c r="F285" s="35" t="s">
        <v>48</v>
      </c>
      <c r="G285" s="34" t="s">
        <v>48</v>
      </c>
      <c r="H285" s="34" t="s">
        <v>48</v>
      </c>
      <c r="I285" s="35" t="n">
        <v>3.0</v>
      </c>
      <c r="J285" s="35"/>
      <c r="K285" s="37" t="n">
        <v>2.0</v>
      </c>
    </row>
    <row r="286">
      <c r="A286" s="35" t="s">
        <v>48</v>
      </c>
      <c r="B286" s="34" t="s">
        <v>48</v>
      </c>
      <c r="C286" s="35" t="s">
        <v>48</v>
      </c>
      <c r="D286" s="35" t="s">
        <v>48</v>
      </c>
      <c r="E286" s="34" t="s">
        <v>48</v>
      </c>
      <c r="F286" s="35" t="n">
        <v>0.0</v>
      </c>
      <c r="G286" s="34" t="s">
        <v>420</v>
      </c>
      <c r="H286" s="34" t="s">
        <v>48</v>
      </c>
      <c r="I286" s="35"/>
      <c r="J286" s="35"/>
      <c r="K286" s="37"/>
    </row>
    <row r="287">
      <c r="A287" s="35" t="s">
        <v>48</v>
      </c>
      <c r="B287" s="34" t="s">
        <v>48</v>
      </c>
      <c r="C287" s="35" t="s">
        <v>48</v>
      </c>
      <c r="D287" s="35" t="s">
        <v>48</v>
      </c>
      <c r="E287" s="34" t="s">
        <v>48</v>
      </c>
      <c r="F287" s="35" t="n">
        <v>1.0</v>
      </c>
      <c r="G287" s="34" t="s">
        <v>421</v>
      </c>
      <c r="H287" s="34" t="s">
        <v>48</v>
      </c>
      <c r="I287" s="35"/>
      <c r="J287" s="35"/>
      <c r="K287" s="37"/>
    </row>
    <row r="288">
      <c r="A288" s="35" t="s">
        <v>48</v>
      </c>
      <c r="B288" s="34" t="s">
        <v>48</v>
      </c>
      <c r="C288" s="35" t="s">
        <v>48</v>
      </c>
      <c r="D288" s="35" t="s">
        <v>48</v>
      </c>
      <c r="E288" s="34" t="s">
        <v>48</v>
      </c>
      <c r="F288" s="35" t="n">
        <v>2.0</v>
      </c>
      <c r="G288" s="34" t="s">
        <v>422</v>
      </c>
      <c r="H288" s="34" t="s">
        <v>48</v>
      </c>
      <c r="I288" s="35"/>
      <c r="J288" s="35"/>
      <c r="K288" s="37"/>
    </row>
    <row r="289">
      <c r="A289" s="35" t="s">
        <v>48</v>
      </c>
      <c r="B289" s="34" t="s">
        <v>48</v>
      </c>
      <c r="C289" s="35" t="s">
        <v>48</v>
      </c>
      <c r="D289" s="35" t="s">
        <v>48</v>
      </c>
      <c r="E289" s="34" t="s">
        <v>48</v>
      </c>
      <c r="F289" s="35" t="n">
        <v>3.0</v>
      </c>
      <c r="G289" s="34" t="s">
        <v>423</v>
      </c>
      <c r="H289" s="34" t="s">
        <v>48</v>
      </c>
      <c r="I289" s="35"/>
      <c r="J289" s="35"/>
      <c r="K289" s="37"/>
    </row>
    <row r="290">
      <c r="A290" s="35" t="s">
        <v>48</v>
      </c>
      <c r="B290" s="34" t="s">
        <v>48</v>
      </c>
      <c r="C290" s="35" t="s">
        <v>48</v>
      </c>
      <c r="D290" s="35" t="s">
        <v>48</v>
      </c>
      <c r="E290" s="34" t="s">
        <v>48</v>
      </c>
      <c r="F290" s="35" t="s">
        <v>48</v>
      </c>
      <c r="G290" s="34" t="s">
        <v>48</v>
      </c>
      <c r="H290" s="34" t="s">
        <v>48</v>
      </c>
      <c r="I290" s="35"/>
      <c r="J290" s="35"/>
      <c r="K290" s="37"/>
    </row>
    <row r="291">
      <c r="A291" s="35" t="s">
        <v>48</v>
      </c>
      <c r="B291" s="34" t="s">
        <v>48</v>
      </c>
      <c r="C291" s="35" t="s">
        <v>48</v>
      </c>
      <c r="D291" s="35" t="s">
        <v>48</v>
      </c>
      <c r="E291" s="34" t="s">
        <v>48</v>
      </c>
      <c r="F291" s="35" t="s">
        <v>48</v>
      </c>
      <c r="G291" s="34" t="s">
        <v>48</v>
      </c>
      <c r="H291" s="34" t="s">
        <v>48</v>
      </c>
      <c r="I291" s="35"/>
      <c r="J291" s="35"/>
      <c r="K291" s="37"/>
    </row>
    <row r="292">
      <c r="A292" s="86" t="s">
        <v>15</v>
      </c>
      <c r="B292" s="87" t="s">
        <v>16</v>
      </c>
      <c r="C292" s="88" t="s">
        <v>10</v>
      </c>
      <c r="D292" s="89" t="s">
        <v>6</v>
      </c>
      <c r="E292" s="90" t="s">
        <v>1</v>
      </c>
      <c r="F292" s="91" t="s">
        <v>2</v>
      </c>
      <c r="G292" s="92" t="s">
        <v>8</v>
      </c>
      <c r="H292" s="93" t="s">
        <v>9</v>
      </c>
      <c r="I292" s="94" t="s">
        <v>23</v>
      </c>
      <c r="J292" s="95" t="s">
        <v>11</v>
      </c>
      <c r="K292" s="96" t="s">
        <v>3</v>
      </c>
      <c r="L292" s="97" t="s">
        <v>424</v>
      </c>
      <c r="M292" s="98" t="s">
        <v>4</v>
      </c>
      <c r="N292" s="99">
        <f>SUM(K293:K334)</f>
      </c>
    </row>
    <row r="293">
      <c r="A293" s="35" t="s">
        <v>425</v>
      </c>
      <c r="B293" s="34" t="s">
        <v>426</v>
      </c>
      <c r="C293" s="35" t="s">
        <v>427</v>
      </c>
      <c r="D293" s="34" t="s">
        <v>48</v>
      </c>
      <c r="E293" s="34" t="s">
        <v>48</v>
      </c>
      <c r="F293" s="34" t="s">
        <v>48</v>
      </c>
      <c r="G293" s="34" t="s">
        <v>48</v>
      </c>
      <c r="H293" s="34" t="s">
        <v>48</v>
      </c>
      <c r="I293" s="34" t="s">
        <v>48</v>
      </c>
      <c r="J293" s="34" t="s">
        <v>48</v>
      </c>
      <c r="K293" s="34" t="s">
        <v>48</v>
      </c>
    </row>
    <row r="294">
      <c r="A294" s="35" t="s">
        <v>48</v>
      </c>
      <c r="B294" s="34" t="s">
        <v>48</v>
      </c>
      <c r="C294" s="35" t="s">
        <v>48</v>
      </c>
      <c r="D294" s="35" t="s">
        <v>52</v>
      </c>
      <c r="E294" s="34" t="s">
        <v>428</v>
      </c>
      <c r="F294" s="35" t="s">
        <v>48</v>
      </c>
      <c r="G294" s="34" t="s">
        <v>430</v>
      </c>
      <c r="H294" s="34" t="s">
        <v>429</v>
      </c>
      <c r="I294" s="35" t="n">
        <v>5.0</v>
      </c>
      <c r="J294" s="35" t="n">
        <v>1.0</v>
      </c>
      <c r="K294" s="37" t="n">
        <v>0.5</v>
      </c>
    </row>
    <row r="295">
      <c r="A295" s="35" t="s">
        <v>48</v>
      </c>
      <c r="B295" s="34" t="s">
        <v>48</v>
      </c>
      <c r="C295" s="35" t="s">
        <v>48</v>
      </c>
      <c r="D295" s="35" t="s">
        <v>52</v>
      </c>
      <c r="E295" s="34" t="s">
        <v>433</v>
      </c>
      <c r="F295" s="35" t="s">
        <v>48</v>
      </c>
      <c r="G295" s="34" t="s">
        <v>434</v>
      </c>
      <c r="H295" s="34" t="s">
        <v>429</v>
      </c>
      <c r="I295" s="35" t="n">
        <v>5.0</v>
      </c>
      <c r="J295" s="35" t="n">
        <v>7.0</v>
      </c>
      <c r="K295" s="37" t="n">
        <v>1.75</v>
      </c>
    </row>
    <row r="296">
      <c r="A296" s="35" t="s">
        <v>48</v>
      </c>
      <c r="B296" s="34" t="s">
        <v>48</v>
      </c>
      <c r="C296" s="35" t="s">
        <v>48</v>
      </c>
      <c r="D296" s="35" t="s">
        <v>52</v>
      </c>
      <c r="E296" s="34" t="s">
        <v>436</v>
      </c>
      <c r="F296" s="35" t="s">
        <v>48</v>
      </c>
      <c r="G296" s="34" t="s">
        <v>48</v>
      </c>
      <c r="H296" s="34" t="s">
        <v>429</v>
      </c>
      <c r="I296" s="35" t="n">
        <v>5.0</v>
      </c>
      <c r="J296" s="35" t="n">
        <v>8.0</v>
      </c>
      <c r="K296" s="37" t="n">
        <v>1.75</v>
      </c>
    </row>
    <row r="297">
      <c r="A297" s="35" t="s">
        <v>48</v>
      </c>
      <c r="B297" s="34" t="s">
        <v>48</v>
      </c>
      <c r="C297" s="35" t="s">
        <v>48</v>
      </c>
      <c r="D297" s="35" t="s">
        <v>45</v>
      </c>
      <c r="E297" s="34" t="s">
        <v>437</v>
      </c>
      <c r="F297" s="35" t="s">
        <v>48</v>
      </c>
      <c r="G297" s="34" t="s">
        <v>48</v>
      </c>
      <c r="H297" s="34" t="s">
        <v>48</v>
      </c>
      <c r="I297" s="35" t="n">
        <v>1.0</v>
      </c>
      <c r="J297" s="35"/>
      <c r="K297" s="37" t="n">
        <v>0.5</v>
      </c>
    </row>
    <row r="298">
      <c r="A298" s="35" t="s">
        <v>48</v>
      </c>
      <c r="B298" s="34" t="s">
        <v>48</v>
      </c>
      <c r="C298" s="35" t="s">
        <v>48</v>
      </c>
      <c r="D298" s="35" t="s">
        <v>48</v>
      </c>
      <c r="E298" s="34" t="s">
        <v>48</v>
      </c>
      <c r="F298" s="35" t="n">
        <v>0.0</v>
      </c>
      <c r="G298" s="34" t="s">
        <v>438</v>
      </c>
      <c r="H298" s="34" t="s">
        <v>48</v>
      </c>
      <c r="I298" s="35"/>
      <c r="J298" s="35"/>
      <c r="K298" s="37"/>
    </row>
    <row r="299">
      <c r="A299" s="35" t="s">
        <v>48</v>
      </c>
      <c r="B299" s="34" t="s">
        <v>48</v>
      </c>
      <c r="C299" s="35" t="s">
        <v>48</v>
      </c>
      <c r="D299" s="35" t="s">
        <v>48</v>
      </c>
      <c r="E299" s="34" t="s">
        <v>48</v>
      </c>
      <c r="F299" s="35" t="n">
        <v>1.0</v>
      </c>
      <c r="G299" s="34" t="s">
        <v>439</v>
      </c>
      <c r="H299" s="34" t="s">
        <v>48</v>
      </c>
      <c r="I299" s="35"/>
      <c r="J299" s="35"/>
      <c r="K299" s="37"/>
    </row>
    <row r="300">
      <c r="A300" s="35" t="s">
        <v>48</v>
      </c>
      <c r="B300" s="34" t="s">
        <v>48</v>
      </c>
      <c r="C300" s="35" t="s">
        <v>48</v>
      </c>
      <c r="D300" s="35" t="s">
        <v>48</v>
      </c>
      <c r="E300" s="34" t="s">
        <v>48</v>
      </c>
      <c r="F300" s="35" t="n">
        <v>2.0</v>
      </c>
      <c r="G300" s="34" t="s">
        <v>440</v>
      </c>
      <c r="H300" s="34" t="s">
        <v>48</v>
      </c>
      <c r="I300" s="35"/>
      <c r="J300" s="35"/>
      <c r="K300" s="37"/>
    </row>
    <row r="301">
      <c r="A301" s="35" t="s">
        <v>48</v>
      </c>
      <c r="B301" s="34" t="s">
        <v>48</v>
      </c>
      <c r="C301" s="35" t="s">
        <v>48</v>
      </c>
      <c r="D301" s="35" t="s">
        <v>48</v>
      </c>
      <c r="E301" s="34" t="s">
        <v>48</v>
      </c>
      <c r="F301" s="35" t="n">
        <v>3.0</v>
      </c>
      <c r="G301" s="34" t="s">
        <v>441</v>
      </c>
      <c r="H301" s="34" t="s">
        <v>48</v>
      </c>
      <c r="I301" s="35"/>
      <c r="J301" s="35"/>
      <c r="K301" s="37"/>
    </row>
    <row r="302">
      <c r="A302" s="35" t="s">
        <v>48</v>
      </c>
      <c r="B302" s="34" t="s">
        <v>48</v>
      </c>
      <c r="C302" s="35" t="s">
        <v>48</v>
      </c>
      <c r="D302" s="35" t="s">
        <v>45</v>
      </c>
      <c r="E302" s="34" t="s">
        <v>442</v>
      </c>
      <c r="F302" s="35" t="s">
        <v>48</v>
      </c>
      <c r="G302" s="34" t="s">
        <v>48</v>
      </c>
      <c r="H302" s="34" t="s">
        <v>48</v>
      </c>
      <c r="I302" s="35" t="n">
        <v>2.0</v>
      </c>
      <c r="J302" s="35"/>
      <c r="K302" s="37" t="n">
        <v>0.5</v>
      </c>
    </row>
    <row r="303">
      <c r="A303" s="35" t="s">
        <v>48</v>
      </c>
      <c r="B303" s="34" t="s">
        <v>48</v>
      </c>
      <c r="C303" s="35" t="s">
        <v>48</v>
      </c>
      <c r="D303" s="35" t="s">
        <v>48</v>
      </c>
      <c r="E303" s="34" t="s">
        <v>48</v>
      </c>
      <c r="F303" s="35" t="n">
        <v>0.0</v>
      </c>
      <c r="G303" s="34" t="s">
        <v>443</v>
      </c>
      <c r="H303" s="34" t="s">
        <v>48</v>
      </c>
      <c r="I303" s="35"/>
      <c r="J303" s="35"/>
      <c r="K303" s="37"/>
    </row>
    <row r="304">
      <c r="A304" s="35" t="s">
        <v>48</v>
      </c>
      <c r="B304" s="34" t="s">
        <v>48</v>
      </c>
      <c r="C304" s="35" t="s">
        <v>48</v>
      </c>
      <c r="D304" s="35" t="s">
        <v>48</v>
      </c>
      <c r="E304" s="34" t="s">
        <v>48</v>
      </c>
      <c r="F304" s="35" t="n">
        <v>1.0</v>
      </c>
      <c r="G304" s="34" t="s">
        <v>444</v>
      </c>
      <c r="H304" s="34" t="s">
        <v>48</v>
      </c>
      <c r="I304" s="35"/>
      <c r="J304" s="35"/>
      <c r="K304" s="37"/>
    </row>
    <row r="305">
      <c r="A305" s="35" t="s">
        <v>48</v>
      </c>
      <c r="B305" s="34" t="s">
        <v>48</v>
      </c>
      <c r="C305" s="35" t="s">
        <v>48</v>
      </c>
      <c r="D305" s="35" t="s">
        <v>48</v>
      </c>
      <c r="E305" s="34" t="s">
        <v>48</v>
      </c>
      <c r="F305" s="35" t="n">
        <v>2.0</v>
      </c>
      <c r="G305" s="34" t="s">
        <v>445</v>
      </c>
      <c r="H305" s="34" t="s">
        <v>48</v>
      </c>
      <c r="I305" s="35"/>
      <c r="J305" s="35"/>
      <c r="K305" s="37"/>
    </row>
    <row r="306">
      <c r="A306" s="35" t="s">
        <v>48</v>
      </c>
      <c r="B306" s="34" t="s">
        <v>48</v>
      </c>
      <c r="C306" s="35" t="s">
        <v>48</v>
      </c>
      <c r="D306" s="35" t="s">
        <v>48</v>
      </c>
      <c r="E306" s="34" t="s">
        <v>48</v>
      </c>
      <c r="F306" s="35" t="n">
        <v>3.0</v>
      </c>
      <c r="G306" s="34" t="s">
        <v>446</v>
      </c>
      <c r="H306" s="34" t="s">
        <v>48</v>
      </c>
      <c r="I306" s="35"/>
      <c r="J306" s="35"/>
      <c r="K306" s="37"/>
    </row>
    <row r="307">
      <c r="A307" s="35" t="s">
        <v>447</v>
      </c>
      <c r="B307" s="34" t="s">
        <v>448</v>
      </c>
      <c r="C307" s="35" t="s">
        <v>427</v>
      </c>
      <c r="D307" s="34" t="s">
        <v>48</v>
      </c>
      <c r="E307" s="34" t="s">
        <v>48</v>
      </c>
      <c r="F307" s="34" t="s">
        <v>48</v>
      </c>
      <c r="G307" s="34" t="s">
        <v>48</v>
      </c>
      <c r="H307" s="34" t="s">
        <v>48</v>
      </c>
      <c r="I307" s="34" t="s">
        <v>48</v>
      </c>
      <c r="J307" s="34" t="s">
        <v>48</v>
      </c>
      <c r="K307" s="34" t="s">
        <v>48</v>
      </c>
    </row>
    <row r="308">
      <c r="A308" s="35" t="s">
        <v>48</v>
      </c>
      <c r="B308" s="34" t="s">
        <v>48</v>
      </c>
      <c r="C308" s="35" t="s">
        <v>48</v>
      </c>
      <c r="D308" s="35" t="s">
        <v>52</v>
      </c>
      <c r="E308" s="34" t="s">
        <v>449</v>
      </c>
      <c r="F308" s="35" t="s">
        <v>48</v>
      </c>
      <c r="G308" s="34" t="s">
        <v>48</v>
      </c>
      <c r="H308" s="34" t="s">
        <v>450</v>
      </c>
      <c r="I308" s="35" t="n">
        <v>2.0</v>
      </c>
      <c r="J308" s="35" t="n">
        <v>1.0</v>
      </c>
      <c r="K308" s="37" t="n">
        <v>0.5</v>
      </c>
    </row>
    <row r="309">
      <c r="A309" s="35" t="s">
        <v>48</v>
      </c>
      <c r="B309" s="34" t="s">
        <v>48</v>
      </c>
      <c r="C309" s="35" t="s">
        <v>48</v>
      </c>
      <c r="D309" s="35" t="s">
        <v>52</v>
      </c>
      <c r="E309" s="34" t="s">
        <v>453</v>
      </c>
      <c r="F309" s="35" t="s">
        <v>48</v>
      </c>
      <c r="G309" s="34" t="s">
        <v>454</v>
      </c>
      <c r="H309" s="34" t="s">
        <v>48</v>
      </c>
      <c r="I309" s="35" t="n">
        <v>2.0</v>
      </c>
      <c r="J309" s="35" t="n">
        <v>9.0</v>
      </c>
      <c r="K309" s="37" t="n">
        <v>2.0</v>
      </c>
    </row>
    <row r="310">
      <c r="A310" s="35" t="s">
        <v>48</v>
      </c>
      <c r="B310" s="34" t="s">
        <v>48</v>
      </c>
      <c r="C310" s="35" t="s">
        <v>48</v>
      </c>
      <c r="D310" s="35" t="s">
        <v>52</v>
      </c>
      <c r="E310" s="34" t="s">
        <v>457</v>
      </c>
      <c r="F310" s="35" t="s">
        <v>48</v>
      </c>
      <c r="G310" s="34" t="s">
        <v>458</v>
      </c>
      <c r="H310" s="34" t="s">
        <v>48</v>
      </c>
      <c r="I310" s="35" t="n">
        <v>5.0</v>
      </c>
      <c r="J310" s="35" t="n">
        <v>10.0</v>
      </c>
      <c r="K310" s="37" t="n">
        <v>0.75</v>
      </c>
    </row>
    <row r="311">
      <c r="A311" s="35" t="s">
        <v>48</v>
      </c>
      <c r="B311" s="34" t="s">
        <v>48</v>
      </c>
      <c r="C311" s="35" t="s">
        <v>48</v>
      </c>
      <c r="D311" s="35" t="s">
        <v>52</v>
      </c>
      <c r="E311" s="34" t="s">
        <v>459</v>
      </c>
      <c r="F311" s="35" t="s">
        <v>48</v>
      </c>
      <c r="G311" s="34" t="s">
        <v>460</v>
      </c>
      <c r="H311" s="34" t="s">
        <v>48</v>
      </c>
      <c r="I311" s="35" t="n">
        <v>5.0</v>
      </c>
      <c r="J311" s="35" t="n">
        <v>10.0</v>
      </c>
      <c r="K311" s="37" t="n">
        <v>0.75</v>
      </c>
    </row>
    <row r="312">
      <c r="A312" s="35" t="s">
        <v>48</v>
      </c>
      <c r="B312" s="34" t="s">
        <v>48</v>
      </c>
      <c r="C312" s="35" t="s">
        <v>48</v>
      </c>
      <c r="D312" s="35" t="s">
        <v>52</v>
      </c>
      <c r="E312" s="34" t="s">
        <v>461</v>
      </c>
      <c r="F312" s="35" t="s">
        <v>48</v>
      </c>
      <c r="G312" s="34" t="s">
        <v>462</v>
      </c>
      <c r="H312" s="34" t="s">
        <v>48</v>
      </c>
      <c r="I312" s="35" t="n">
        <v>5.0</v>
      </c>
      <c r="J312" s="35" t="n">
        <v>10.0</v>
      </c>
      <c r="K312" s="37" t="n">
        <v>0.75</v>
      </c>
    </row>
    <row r="313">
      <c r="A313" s="35" t="s">
        <v>48</v>
      </c>
      <c r="B313" s="34" t="s">
        <v>48</v>
      </c>
      <c r="C313" s="35" t="s">
        <v>48</v>
      </c>
      <c r="D313" s="35" t="s">
        <v>52</v>
      </c>
      <c r="E313" s="34" t="s">
        <v>463</v>
      </c>
      <c r="F313" s="35" t="s">
        <v>48</v>
      </c>
      <c r="G313" s="34" t="s">
        <v>464</v>
      </c>
      <c r="H313" s="34" t="s">
        <v>48</v>
      </c>
      <c r="I313" s="35" t="n">
        <v>5.0</v>
      </c>
      <c r="J313" s="35" t="n">
        <v>10.0</v>
      </c>
      <c r="K313" s="37" t="n">
        <v>0.75</v>
      </c>
    </row>
    <row r="314">
      <c r="A314" s="35" t="s">
        <v>465</v>
      </c>
      <c r="B314" s="34" t="s">
        <v>466</v>
      </c>
      <c r="C314" s="35" t="s">
        <v>427</v>
      </c>
      <c r="D314" s="34" t="s">
        <v>48</v>
      </c>
      <c r="E314" s="34" t="s">
        <v>48</v>
      </c>
      <c r="F314" s="34" t="s">
        <v>48</v>
      </c>
      <c r="G314" s="34" t="s">
        <v>48</v>
      </c>
      <c r="H314" s="34" t="s">
        <v>48</v>
      </c>
      <c r="I314" s="34" t="s">
        <v>48</v>
      </c>
      <c r="J314" s="34" t="s">
        <v>48</v>
      </c>
      <c r="K314" s="34" t="s">
        <v>48</v>
      </c>
    </row>
    <row r="315">
      <c r="A315" s="35" t="s">
        <v>48</v>
      </c>
      <c r="B315" s="34" t="s">
        <v>48</v>
      </c>
      <c r="C315" s="35" t="s">
        <v>48</v>
      </c>
      <c r="D315" s="35" t="s">
        <v>52</v>
      </c>
      <c r="E315" s="34" t="s">
        <v>467</v>
      </c>
      <c r="F315" s="35" t="s">
        <v>48</v>
      </c>
      <c r="G315" s="34" t="s">
        <v>468</v>
      </c>
      <c r="H315" s="34" t="s">
        <v>48</v>
      </c>
      <c r="I315" s="35" t="n">
        <v>4.0</v>
      </c>
      <c r="J315" s="35" t="n">
        <v>1.0</v>
      </c>
      <c r="K315" s="37" t="n">
        <v>0.25</v>
      </c>
    </row>
    <row r="316">
      <c r="A316" s="35" t="s">
        <v>48</v>
      </c>
      <c r="B316" s="34" t="s">
        <v>48</v>
      </c>
      <c r="C316" s="35" t="s">
        <v>48</v>
      </c>
      <c r="D316" s="35" t="s">
        <v>52</v>
      </c>
      <c r="E316" s="34" t="s">
        <v>469</v>
      </c>
      <c r="F316" s="35" t="s">
        <v>48</v>
      </c>
      <c r="G316" s="34" t="s">
        <v>468</v>
      </c>
      <c r="H316" s="34" t="s">
        <v>48</v>
      </c>
      <c r="I316" s="35" t="n">
        <v>4.0</v>
      </c>
      <c r="J316" s="35" t="n">
        <v>1.0</v>
      </c>
      <c r="K316" s="37" t="n">
        <v>0.75</v>
      </c>
    </row>
    <row r="317">
      <c r="A317" s="35" t="s">
        <v>48</v>
      </c>
      <c r="B317" s="34" t="s">
        <v>48</v>
      </c>
      <c r="C317" s="35" t="s">
        <v>48</v>
      </c>
      <c r="D317" s="35" t="s">
        <v>52</v>
      </c>
      <c r="E317" s="34" t="s">
        <v>470</v>
      </c>
      <c r="F317" s="35" t="s">
        <v>48</v>
      </c>
      <c r="G317" s="34" t="s">
        <v>48</v>
      </c>
      <c r="H317" s="34" t="s">
        <v>48</v>
      </c>
      <c r="I317" s="35" t="n">
        <v>4.0</v>
      </c>
      <c r="J317" s="35" t="n">
        <v>1.0</v>
      </c>
      <c r="K317" s="37" t="n">
        <v>1.0</v>
      </c>
    </row>
    <row r="318">
      <c r="A318" s="35" t="s">
        <v>48</v>
      </c>
      <c r="B318" s="34" t="s">
        <v>48</v>
      </c>
      <c r="C318" s="35" t="s">
        <v>48</v>
      </c>
      <c r="D318" s="35" t="s">
        <v>52</v>
      </c>
      <c r="E318" s="34" t="s">
        <v>471</v>
      </c>
      <c r="F318" s="35" t="s">
        <v>48</v>
      </c>
      <c r="G318" s="34" t="s">
        <v>48</v>
      </c>
      <c r="H318" s="34" t="s">
        <v>48</v>
      </c>
      <c r="I318" s="35" t="n">
        <v>4.0</v>
      </c>
      <c r="J318" s="35" t="n">
        <v>1.0</v>
      </c>
      <c r="K318" s="37" t="n">
        <v>0.5</v>
      </c>
    </row>
    <row r="319">
      <c r="A319" s="35" t="s">
        <v>48</v>
      </c>
      <c r="B319" s="34" t="s">
        <v>48</v>
      </c>
      <c r="C319" s="35" t="s">
        <v>48</v>
      </c>
      <c r="D319" s="35" t="s">
        <v>52</v>
      </c>
      <c r="E319" s="34" t="s">
        <v>472</v>
      </c>
      <c r="F319" s="35" t="s">
        <v>48</v>
      </c>
      <c r="G319" s="34" t="s">
        <v>48</v>
      </c>
      <c r="H319" s="34" t="s">
        <v>48</v>
      </c>
      <c r="I319" s="35" t="n">
        <v>4.0</v>
      </c>
      <c r="J319" s="35" t="n">
        <v>1.0</v>
      </c>
      <c r="K319" s="37" t="n">
        <v>0.5</v>
      </c>
    </row>
    <row r="320">
      <c r="A320" s="35" t="s">
        <v>48</v>
      </c>
      <c r="B320" s="34" t="s">
        <v>48</v>
      </c>
      <c r="C320" s="35" t="s">
        <v>48</v>
      </c>
      <c r="D320" s="35" t="s">
        <v>52</v>
      </c>
      <c r="E320" s="34" t="s">
        <v>473</v>
      </c>
      <c r="F320" s="35" t="s">
        <v>48</v>
      </c>
      <c r="G320" s="34" t="s">
        <v>474</v>
      </c>
      <c r="H320" s="34" t="s">
        <v>48</v>
      </c>
      <c r="I320" s="35" t="n">
        <v>4.0</v>
      </c>
      <c r="J320" s="35" t="n">
        <v>1.0</v>
      </c>
      <c r="K320" s="37" t="n">
        <v>0.2</v>
      </c>
    </row>
    <row r="321">
      <c r="A321" s="35" t="s">
        <v>48</v>
      </c>
      <c r="B321" s="34" t="s">
        <v>48</v>
      </c>
      <c r="C321" s="35" t="s">
        <v>48</v>
      </c>
      <c r="D321" s="35" t="s">
        <v>52</v>
      </c>
      <c r="E321" s="34" t="s">
        <v>475</v>
      </c>
      <c r="F321" s="35" t="s">
        <v>48</v>
      </c>
      <c r="G321" s="34" t="s">
        <v>474</v>
      </c>
      <c r="H321" s="34" t="s">
        <v>48</v>
      </c>
      <c r="I321" s="35" t="n">
        <v>4.0</v>
      </c>
      <c r="J321" s="35" t="n">
        <v>1.0</v>
      </c>
      <c r="K321" s="37" t="n">
        <v>0.2</v>
      </c>
    </row>
    <row r="322">
      <c r="A322" s="35" t="s">
        <v>48</v>
      </c>
      <c r="B322" s="34" t="s">
        <v>48</v>
      </c>
      <c r="C322" s="35" t="s">
        <v>48</v>
      </c>
      <c r="D322" s="35" t="s">
        <v>52</v>
      </c>
      <c r="E322" s="34" t="s">
        <v>476</v>
      </c>
      <c r="F322" s="35" t="s">
        <v>48</v>
      </c>
      <c r="G322" s="34" t="s">
        <v>474</v>
      </c>
      <c r="H322" s="34" t="s">
        <v>48</v>
      </c>
      <c r="I322" s="35" t="n">
        <v>4.0</v>
      </c>
      <c r="J322" s="35" t="n">
        <v>1.0</v>
      </c>
      <c r="K322" s="37" t="n">
        <v>0.2</v>
      </c>
    </row>
    <row r="323">
      <c r="A323" s="35" t="s">
        <v>48</v>
      </c>
      <c r="B323" s="34" t="s">
        <v>48</v>
      </c>
      <c r="C323" s="35" t="s">
        <v>48</v>
      </c>
      <c r="D323" s="35" t="s">
        <v>52</v>
      </c>
      <c r="E323" s="34" t="s">
        <v>477</v>
      </c>
      <c r="F323" s="35" t="s">
        <v>48</v>
      </c>
      <c r="G323" s="34" t="s">
        <v>474</v>
      </c>
      <c r="H323" s="34" t="s">
        <v>48</v>
      </c>
      <c r="I323" s="35" t="n">
        <v>4.0</v>
      </c>
      <c r="J323" s="35" t="n">
        <v>1.0</v>
      </c>
      <c r="K323" s="37" t="n">
        <v>0.2</v>
      </c>
    </row>
    <row r="324">
      <c r="A324" s="35" t="s">
        <v>48</v>
      </c>
      <c r="B324" s="34" t="s">
        <v>48</v>
      </c>
      <c r="C324" s="35" t="s">
        <v>48</v>
      </c>
      <c r="D324" s="35" t="s">
        <v>52</v>
      </c>
      <c r="E324" s="34" t="s">
        <v>478</v>
      </c>
      <c r="F324" s="35" t="s">
        <v>48</v>
      </c>
      <c r="G324" s="34" t="s">
        <v>474</v>
      </c>
      <c r="H324" s="34" t="s">
        <v>48</v>
      </c>
      <c r="I324" s="35" t="n">
        <v>4.0</v>
      </c>
      <c r="J324" s="35" t="n">
        <v>1.0</v>
      </c>
      <c r="K324" s="37" t="n">
        <v>0.2</v>
      </c>
    </row>
    <row r="325">
      <c r="A325" s="35" t="s">
        <v>48</v>
      </c>
      <c r="B325" s="34" t="s">
        <v>48</v>
      </c>
      <c r="C325" s="35" t="s">
        <v>48</v>
      </c>
      <c r="D325" s="35" t="s">
        <v>52</v>
      </c>
      <c r="E325" s="34" t="s">
        <v>479</v>
      </c>
      <c r="F325" s="35" t="s">
        <v>48</v>
      </c>
      <c r="G325" s="34" t="s">
        <v>480</v>
      </c>
      <c r="H325" s="34" t="s">
        <v>48</v>
      </c>
      <c r="I325" s="35" t="n">
        <v>4.0</v>
      </c>
      <c r="J325" s="35" t="n">
        <v>1.0</v>
      </c>
      <c r="K325" s="37" t="n">
        <v>0.5</v>
      </c>
    </row>
    <row r="326">
      <c r="A326" s="35" t="s">
        <v>48</v>
      </c>
      <c r="B326" s="34" t="s">
        <v>48</v>
      </c>
      <c r="C326" s="35" t="s">
        <v>48</v>
      </c>
      <c r="D326" s="35" t="s">
        <v>52</v>
      </c>
      <c r="E326" s="34" t="s">
        <v>481</v>
      </c>
      <c r="F326" s="35" t="s">
        <v>48</v>
      </c>
      <c r="G326" s="34" t="s">
        <v>48</v>
      </c>
      <c r="H326" s="34" t="s">
        <v>48</v>
      </c>
      <c r="I326" s="35" t="n">
        <v>4.0</v>
      </c>
      <c r="J326" s="35" t="n">
        <v>1.0</v>
      </c>
      <c r="K326" s="37" t="n">
        <v>0.5</v>
      </c>
    </row>
    <row r="327">
      <c r="A327" s="35" t="s">
        <v>48</v>
      </c>
      <c r="B327" s="34" t="s">
        <v>48</v>
      </c>
      <c r="C327" s="35" t="s">
        <v>48</v>
      </c>
      <c r="D327" s="35" t="s">
        <v>52</v>
      </c>
      <c r="E327" s="34" t="s">
        <v>482</v>
      </c>
      <c r="F327" s="35" t="s">
        <v>48</v>
      </c>
      <c r="G327" s="34" t="s">
        <v>48</v>
      </c>
      <c r="H327" s="34" t="s">
        <v>48</v>
      </c>
      <c r="I327" s="35" t="n">
        <v>4.0</v>
      </c>
      <c r="J327" s="35" t="n">
        <v>1.0</v>
      </c>
      <c r="K327" s="37" t="n">
        <v>0.75</v>
      </c>
    </row>
    <row r="328">
      <c r="A328" s="35" t="s">
        <v>48</v>
      </c>
      <c r="B328" s="34" t="s">
        <v>48</v>
      </c>
      <c r="C328" s="35" t="s">
        <v>48</v>
      </c>
      <c r="D328" s="35" t="s">
        <v>45</v>
      </c>
      <c r="E328" s="34" t="s">
        <v>483</v>
      </c>
      <c r="F328" s="35" t="s">
        <v>48</v>
      </c>
      <c r="G328" s="34" t="s">
        <v>48</v>
      </c>
      <c r="H328" s="34" t="s">
        <v>48</v>
      </c>
      <c r="I328" s="35" t="n">
        <v>2.0</v>
      </c>
      <c r="J328" s="35"/>
      <c r="K328" s="37" t="n">
        <v>0.5</v>
      </c>
    </row>
    <row r="329">
      <c r="A329" s="35" t="s">
        <v>48</v>
      </c>
      <c r="B329" s="34" t="s">
        <v>48</v>
      </c>
      <c r="C329" s="35" t="s">
        <v>48</v>
      </c>
      <c r="D329" s="35" t="s">
        <v>48</v>
      </c>
      <c r="E329" s="34" t="s">
        <v>48</v>
      </c>
      <c r="F329" s="35" t="n">
        <v>0.0</v>
      </c>
      <c r="G329" s="34" t="s">
        <v>484</v>
      </c>
      <c r="H329" s="34" t="s">
        <v>48</v>
      </c>
      <c r="I329" s="35"/>
      <c r="J329" s="35"/>
      <c r="K329" s="37"/>
    </row>
    <row r="330">
      <c r="A330" s="35" t="s">
        <v>48</v>
      </c>
      <c r="B330" s="34" t="s">
        <v>48</v>
      </c>
      <c r="C330" s="35" t="s">
        <v>48</v>
      </c>
      <c r="D330" s="35" t="s">
        <v>48</v>
      </c>
      <c r="E330" s="34" t="s">
        <v>48</v>
      </c>
      <c r="F330" s="35" t="n">
        <v>1.0</v>
      </c>
      <c r="G330" s="34" t="s">
        <v>485</v>
      </c>
      <c r="H330" s="34" t="s">
        <v>48</v>
      </c>
      <c r="I330" s="35"/>
      <c r="J330" s="35"/>
      <c r="K330" s="37"/>
    </row>
    <row r="331">
      <c r="A331" s="35" t="s">
        <v>48</v>
      </c>
      <c r="B331" s="34" t="s">
        <v>48</v>
      </c>
      <c r="C331" s="35" t="s">
        <v>48</v>
      </c>
      <c r="D331" s="35" t="s">
        <v>48</v>
      </c>
      <c r="E331" s="34" t="s">
        <v>48</v>
      </c>
      <c r="F331" s="35" t="n">
        <v>2.0</v>
      </c>
      <c r="G331" s="34" t="s">
        <v>486</v>
      </c>
      <c r="H331" s="34" t="s">
        <v>48</v>
      </c>
      <c r="I331" s="35"/>
      <c r="J331" s="35"/>
      <c r="K331" s="37"/>
    </row>
    <row r="332">
      <c r="A332" s="35" t="s">
        <v>48</v>
      </c>
      <c r="B332" s="34" t="s">
        <v>48</v>
      </c>
      <c r="C332" s="35" t="s">
        <v>48</v>
      </c>
      <c r="D332" s="35" t="s">
        <v>48</v>
      </c>
      <c r="E332" s="34" t="s">
        <v>48</v>
      </c>
      <c r="F332" s="35" t="n">
        <v>3.0</v>
      </c>
      <c r="G332" s="34" t="s">
        <v>487</v>
      </c>
      <c r="H332" s="34" t="s">
        <v>48</v>
      </c>
      <c r="I332" s="35"/>
      <c r="J332" s="35"/>
      <c r="K332" s="37"/>
    </row>
    <row r="333">
      <c r="A333" s="35" t="s">
        <v>48</v>
      </c>
      <c r="B333" s="34" t="s">
        <v>48</v>
      </c>
      <c r="C333" s="35" t="s">
        <v>48</v>
      </c>
      <c r="D333" s="35" t="s">
        <v>48</v>
      </c>
      <c r="E333" s="34" t="s">
        <v>48</v>
      </c>
      <c r="F333" s="35" t="s">
        <v>48</v>
      </c>
      <c r="G333" s="34" t="s">
        <v>48</v>
      </c>
      <c r="H333" s="34" t="s">
        <v>48</v>
      </c>
      <c r="I333" s="35"/>
      <c r="J333" s="35"/>
      <c r="K333" s="37"/>
    </row>
    <row r="334">
      <c r="A334" s="35" t="s">
        <v>48</v>
      </c>
      <c r="B334" s="34" t="s">
        <v>48</v>
      </c>
      <c r="C334" s="35" t="s">
        <v>48</v>
      </c>
      <c r="D334" s="35" t="s">
        <v>48</v>
      </c>
      <c r="E334" s="34" t="s">
        <v>48</v>
      </c>
      <c r="F334" s="35" t="s">
        <v>48</v>
      </c>
      <c r="G334" s="34" t="s">
        <v>48</v>
      </c>
      <c r="H334" s="34" t="s">
        <v>48</v>
      </c>
      <c r="I334" s="35"/>
      <c r="J334" s="35"/>
      <c r="K334" s="37"/>
    </row>
    <row r="335">
      <c r="A335" s="100" t="s">
        <v>15</v>
      </c>
      <c r="B335" s="101" t="s">
        <v>16</v>
      </c>
      <c r="C335" s="102" t="s">
        <v>10</v>
      </c>
      <c r="D335" s="103" t="s">
        <v>6</v>
      </c>
      <c r="E335" s="104" t="s">
        <v>1</v>
      </c>
      <c r="F335" s="105" t="s">
        <v>2</v>
      </c>
      <c r="G335" s="106" t="s">
        <v>8</v>
      </c>
      <c r="H335" s="107" t="s">
        <v>9</v>
      </c>
      <c r="I335" s="108" t="s">
        <v>23</v>
      </c>
      <c r="J335" s="109" t="s">
        <v>11</v>
      </c>
      <c r="K335" s="110" t="s">
        <v>3</v>
      </c>
      <c r="L335" s="111" t="s">
        <v>488</v>
      </c>
      <c r="M335" s="112" t="s">
        <v>4</v>
      </c>
      <c r="N335" s="113">
        <f>SUM(K336:K343)</f>
      </c>
    </row>
    <row r="336">
      <c r="A336" s="35" t="s">
        <v>489</v>
      </c>
      <c r="B336" s="34" t="s">
        <v>490</v>
      </c>
      <c r="C336" s="35" t="s">
        <v>427</v>
      </c>
      <c r="D336" s="34" t="s">
        <v>48</v>
      </c>
      <c r="E336" s="34" t="s">
        <v>48</v>
      </c>
      <c r="F336" s="34" t="s">
        <v>48</v>
      </c>
      <c r="G336" s="34" t="s">
        <v>48</v>
      </c>
      <c r="H336" s="34" t="s">
        <v>48</v>
      </c>
      <c r="I336" s="34" t="s">
        <v>48</v>
      </c>
      <c r="J336" s="34" t="s">
        <v>48</v>
      </c>
      <c r="K336" s="34" t="s">
        <v>48</v>
      </c>
    </row>
    <row r="337">
      <c r="A337" s="35" t="s">
        <v>48</v>
      </c>
      <c r="B337" s="34" t="s">
        <v>48</v>
      </c>
      <c r="C337" s="35" t="s">
        <v>48</v>
      </c>
      <c r="D337" s="35" t="s">
        <v>52</v>
      </c>
      <c r="E337" s="34" t="s">
        <v>491</v>
      </c>
      <c r="F337" s="35" t="s">
        <v>48</v>
      </c>
      <c r="G337" s="34" t="s">
        <v>48</v>
      </c>
      <c r="H337" s="34" t="s">
        <v>48</v>
      </c>
      <c r="I337" s="35" t="n">
        <v>1.0</v>
      </c>
      <c r="J337" s="35" t="n">
        <v>1.0</v>
      </c>
      <c r="K337" s="37" t="n">
        <v>2.0</v>
      </c>
    </row>
    <row r="338">
      <c r="A338" s="35" t="s">
        <v>492</v>
      </c>
      <c r="B338" s="34" t="s">
        <v>493</v>
      </c>
      <c r="C338" s="35" t="s">
        <v>427</v>
      </c>
      <c r="D338" s="34" t="s">
        <v>48</v>
      </c>
      <c r="E338" s="34" t="s">
        <v>48</v>
      </c>
      <c r="F338" s="34" t="s">
        <v>48</v>
      </c>
      <c r="G338" s="34" t="s">
        <v>48</v>
      </c>
      <c r="H338" s="34" t="s">
        <v>48</v>
      </c>
      <c r="I338" s="34" t="s">
        <v>48</v>
      </c>
      <c r="J338" s="34" t="s">
        <v>48</v>
      </c>
      <c r="K338" s="34" t="s">
        <v>48</v>
      </c>
    </row>
    <row r="339">
      <c r="A339" s="35" t="s">
        <v>48</v>
      </c>
      <c r="B339" s="34" t="s">
        <v>48</v>
      </c>
      <c r="C339" s="35" t="s">
        <v>48</v>
      </c>
      <c r="D339" s="35" t="s">
        <v>52</v>
      </c>
      <c r="E339" s="34" t="s">
        <v>494</v>
      </c>
      <c r="F339" s="35" t="s">
        <v>48</v>
      </c>
      <c r="G339" s="34" t="s">
        <v>495</v>
      </c>
      <c r="H339" s="34" t="s">
        <v>48</v>
      </c>
      <c r="I339" s="35" t="n">
        <v>2.0</v>
      </c>
      <c r="J339" s="35" t="n">
        <v>1.0</v>
      </c>
      <c r="K339" s="37" t="n">
        <v>1.0</v>
      </c>
    </row>
    <row r="340">
      <c r="A340" s="35" t="s">
        <v>496</v>
      </c>
      <c r="B340" s="34" t="s">
        <v>497</v>
      </c>
      <c r="C340" s="35" t="s">
        <v>427</v>
      </c>
      <c r="D340" s="34" t="s">
        <v>48</v>
      </c>
      <c r="E340" s="34" t="s">
        <v>48</v>
      </c>
      <c r="F340" s="34" t="s">
        <v>48</v>
      </c>
      <c r="G340" s="34" t="s">
        <v>48</v>
      </c>
      <c r="H340" s="34" t="s">
        <v>48</v>
      </c>
      <c r="I340" s="34" t="s">
        <v>48</v>
      </c>
      <c r="J340" s="34" t="s">
        <v>48</v>
      </c>
      <c r="K340" s="34" t="s">
        <v>48</v>
      </c>
    </row>
    <row r="341">
      <c r="A341" s="35" t="s">
        <v>48</v>
      </c>
      <c r="B341" s="34" t="s">
        <v>48</v>
      </c>
      <c r="C341" s="35" t="s">
        <v>48</v>
      </c>
      <c r="D341" s="35" t="s">
        <v>52</v>
      </c>
      <c r="E341" s="34" t="s">
        <v>498</v>
      </c>
      <c r="F341" s="35" t="s">
        <v>48</v>
      </c>
      <c r="G341" s="34" t="s">
        <v>499</v>
      </c>
      <c r="H341" s="34" t="s">
        <v>48</v>
      </c>
      <c r="I341" s="35" t="n">
        <v>4.0</v>
      </c>
      <c r="J341" s="35" t="n">
        <v>1.0</v>
      </c>
      <c r="K341" s="37" t="n">
        <v>2.0</v>
      </c>
    </row>
    <row r="342">
      <c r="A342" s="35" t="s">
        <v>48</v>
      </c>
      <c r="B342" s="34" t="s">
        <v>48</v>
      </c>
      <c r="C342" s="35" t="s">
        <v>48</v>
      </c>
      <c r="D342" s="35" t="s">
        <v>48</v>
      </c>
      <c r="E342" s="34" t="s">
        <v>48</v>
      </c>
      <c r="F342" s="35" t="s">
        <v>48</v>
      </c>
      <c r="G342" s="34" t="s">
        <v>48</v>
      </c>
      <c r="H342" s="34" t="s">
        <v>48</v>
      </c>
      <c r="I342" s="35"/>
      <c r="J342" s="35"/>
      <c r="K342" s="37"/>
    </row>
    <row r="343">
      <c r="A343" s="35" t="s">
        <v>48</v>
      </c>
      <c r="B343" s="34" t="s">
        <v>48</v>
      </c>
      <c r="C343" s="35" t="s">
        <v>48</v>
      </c>
      <c r="D343" s="35" t="s">
        <v>48</v>
      </c>
      <c r="E343" s="34" t="s">
        <v>48</v>
      </c>
      <c r="F343" s="35" t="s">
        <v>48</v>
      </c>
      <c r="G343" s="34" t="s">
        <v>48</v>
      </c>
      <c r="H343" s="34" t="s">
        <v>48</v>
      </c>
      <c r="I343" s="35"/>
      <c r="J343" s="35"/>
      <c r="K343" s="37"/>
    </row>
    <row r="344">
      <c r="A344" s="114" t="s">
        <v>15</v>
      </c>
      <c r="B344" s="115" t="s">
        <v>16</v>
      </c>
      <c r="C344" s="116" t="s">
        <v>10</v>
      </c>
      <c r="D344" s="117" t="s">
        <v>6</v>
      </c>
      <c r="E344" s="118" t="s">
        <v>1</v>
      </c>
      <c r="F344" s="119" t="s">
        <v>2</v>
      </c>
      <c r="G344" s="120" t="s">
        <v>8</v>
      </c>
      <c r="H344" s="121" t="s">
        <v>9</v>
      </c>
      <c r="I344" s="122" t="s">
        <v>23</v>
      </c>
      <c r="J344" s="123" t="s">
        <v>11</v>
      </c>
      <c r="K344" s="124" t="s">
        <v>3</v>
      </c>
      <c r="L344" s="125" t="s">
        <v>500</v>
      </c>
      <c r="M344" s="126" t="s">
        <v>4</v>
      </c>
      <c r="N344" s="127">
        <f>SUM(K345:K346)</f>
      </c>
    </row>
    <row r="345">
      <c r="A345" s="35" t="s">
        <v>48</v>
      </c>
      <c r="B345" s="34" t="s">
        <v>48</v>
      </c>
      <c r="C345" s="35" t="s">
        <v>48</v>
      </c>
      <c r="D345" s="35" t="s">
        <v>48</v>
      </c>
      <c r="E345" s="34" t="s">
        <v>48</v>
      </c>
      <c r="F345" s="35" t="s">
        <v>48</v>
      </c>
      <c r="G345" s="34" t="s">
        <v>48</v>
      </c>
      <c r="H345" s="34" t="s">
        <v>48</v>
      </c>
      <c r="I345" s="35"/>
      <c r="J345" s="35"/>
      <c r="K345" s="37"/>
    </row>
    <row r="346">
      <c r="A346" s="35" t="s">
        <v>48</v>
      </c>
      <c r="B346" s="34" t="s">
        <v>48</v>
      </c>
      <c r="C346" s="35" t="s">
        <v>48</v>
      </c>
      <c r="D346" s="35" t="s">
        <v>48</v>
      </c>
      <c r="E346" s="34" t="s">
        <v>48</v>
      </c>
      <c r="F346" s="35" t="s">
        <v>48</v>
      </c>
      <c r="G346" s="34" t="s">
        <v>48</v>
      </c>
      <c r="H346" s="34" t="s">
        <v>48</v>
      </c>
      <c r="I346" s="35"/>
      <c r="J346" s="35"/>
      <c r="K346" s="37"/>
    </row>
    <row r="347">
      <c r="A347" s="128" t="s">
        <v>15</v>
      </c>
      <c r="B347" s="129" t="s">
        <v>16</v>
      </c>
      <c r="C347" s="130" t="s">
        <v>10</v>
      </c>
      <c r="D347" s="131" t="s">
        <v>6</v>
      </c>
      <c r="E347" s="132" t="s">
        <v>1</v>
      </c>
      <c r="F347" s="133" t="s">
        <v>2</v>
      </c>
      <c r="G347" s="134" t="s">
        <v>8</v>
      </c>
      <c r="H347" s="135" t="s">
        <v>9</v>
      </c>
      <c r="I347" s="136" t="s">
        <v>23</v>
      </c>
      <c r="J347" s="137" t="s">
        <v>11</v>
      </c>
      <c r="K347" s="138" t="s">
        <v>3</v>
      </c>
      <c r="L347" s="139" t="s">
        <v>501</v>
      </c>
      <c r="M347" s="140" t="s">
        <v>4</v>
      </c>
      <c r="N347" s="141">
        <f>SUM(K348:K349)</f>
      </c>
    </row>
    <row r="348">
      <c r="A348" s="35" t="s">
        <v>48</v>
      </c>
      <c r="B348" s="34" t="s">
        <v>48</v>
      </c>
      <c r="C348" s="35" t="s">
        <v>48</v>
      </c>
      <c r="D348" s="35" t="s">
        <v>48</v>
      </c>
      <c r="E348" s="34" t="s">
        <v>48</v>
      </c>
      <c r="F348" s="35" t="s">
        <v>48</v>
      </c>
      <c r="G348" s="34" t="s">
        <v>48</v>
      </c>
      <c r="H348" s="34" t="s">
        <v>48</v>
      </c>
      <c r="I348" s="35"/>
      <c r="J348" s="35"/>
      <c r="K348" s="37"/>
    </row>
    <row r="349">
      <c r="A349" s="35" t="s">
        <v>48</v>
      </c>
      <c r="B349" s="34" t="s">
        <v>48</v>
      </c>
      <c r="C349" s="35" t="s">
        <v>48</v>
      </c>
      <c r="D349" s="35" t="s">
        <v>48</v>
      </c>
      <c r="E349" s="34" t="s">
        <v>48</v>
      </c>
      <c r="F349" s="35" t="s">
        <v>48</v>
      </c>
      <c r="G349" s="34" t="s">
        <v>48</v>
      </c>
      <c r="H349" s="34" t="s">
        <v>48</v>
      </c>
      <c r="I349" s="35"/>
      <c r="J349" s="35"/>
      <c r="K349" s="37"/>
    </row>
    <row r="350">
      <c r="A350" s="142" t="s">
        <v>15</v>
      </c>
      <c r="B350" s="143" t="s">
        <v>16</v>
      </c>
      <c r="C350" s="144" t="s">
        <v>10</v>
      </c>
      <c r="D350" s="145" t="s">
        <v>6</v>
      </c>
      <c r="E350" s="146" t="s">
        <v>1</v>
      </c>
      <c r="F350" s="147" t="s">
        <v>2</v>
      </c>
      <c r="G350" s="148" t="s">
        <v>8</v>
      </c>
      <c r="H350" s="149" t="s">
        <v>9</v>
      </c>
      <c r="I350" s="150" t="s">
        <v>23</v>
      </c>
      <c r="J350" s="151" t="s">
        <v>11</v>
      </c>
      <c r="K350" s="152" t="s">
        <v>3</v>
      </c>
      <c r="L350" s="153" t="s">
        <v>502</v>
      </c>
      <c r="M350" s="154" t="s">
        <v>4</v>
      </c>
      <c r="N350" s="155">
        <f>SUM(K351:K352)</f>
      </c>
    </row>
    <row r="351">
      <c r="A351" s="35" t="s">
        <v>48</v>
      </c>
      <c r="B351" s="34" t="s">
        <v>48</v>
      </c>
      <c r="C351" s="35" t="s">
        <v>48</v>
      </c>
      <c r="D351" s="35" t="s">
        <v>48</v>
      </c>
      <c r="E351" s="34" t="s">
        <v>48</v>
      </c>
      <c r="F351" s="35" t="s">
        <v>48</v>
      </c>
      <c r="G351" s="34" t="s">
        <v>48</v>
      </c>
      <c r="H351" s="34" t="s">
        <v>48</v>
      </c>
      <c r="I351" s="35"/>
      <c r="J351" s="35"/>
      <c r="K351" s="37"/>
    </row>
    <row r="352">
      <c r="A352" s="35" t="s">
        <v>48</v>
      </c>
      <c r="B352" s="34" t="s">
        <v>48</v>
      </c>
      <c r="C352" s="35" t="s">
        <v>48</v>
      </c>
      <c r="D352" s="35" t="s">
        <v>48</v>
      </c>
      <c r="E352" s="34" t="s">
        <v>48</v>
      </c>
      <c r="F352" s="35" t="s">
        <v>48</v>
      </c>
      <c r="G352" s="34" t="s">
        <v>48</v>
      </c>
      <c r="H352" s="34" t="s">
        <v>48</v>
      </c>
      <c r="I352" s="35"/>
      <c r="J352" s="35"/>
      <c r="K352" s="37"/>
    </row>
    <row r="353">
      <c r="A353" s="156" t="s">
        <v>15</v>
      </c>
      <c r="B353" s="157" t="s">
        <v>16</v>
      </c>
      <c r="C353" s="158" t="s">
        <v>10</v>
      </c>
      <c r="D353" s="159" t="s">
        <v>6</v>
      </c>
      <c r="E353" s="160" t="s">
        <v>1</v>
      </c>
      <c r="F353" s="161" t="s">
        <v>2</v>
      </c>
      <c r="G353" s="162" t="s">
        <v>8</v>
      </c>
      <c r="H353" s="163" t="s">
        <v>9</v>
      </c>
      <c r="I353" s="164" t="s">
        <v>23</v>
      </c>
      <c r="J353" s="165" t="s">
        <v>11</v>
      </c>
      <c r="K353" s="166" t="s">
        <v>3</v>
      </c>
      <c r="L353" s="167" t="s">
        <v>503</v>
      </c>
      <c r="M353" s="168" t="s">
        <v>4</v>
      </c>
      <c r="N353" s="169">
        <f>SUM(K354:K355)</f>
      </c>
    </row>
    <row r="354">
      <c r="A354" s="35" t="s">
        <v>48</v>
      </c>
      <c r="B354" s="34" t="s">
        <v>48</v>
      </c>
      <c r="C354" s="35" t="s">
        <v>48</v>
      </c>
      <c r="D354" s="35" t="s">
        <v>48</v>
      </c>
      <c r="E354" s="34" t="s">
        <v>48</v>
      </c>
      <c r="F354" s="35" t="s">
        <v>48</v>
      </c>
      <c r="G354" s="34" t="s">
        <v>48</v>
      </c>
      <c r="H354" s="34" t="s">
        <v>48</v>
      </c>
      <c r="I354" s="35"/>
      <c r="J354" s="35"/>
      <c r="K354" s="37"/>
    </row>
    <row r="355">
      <c r="A355" s="38" t="s">
        <v>48</v>
      </c>
      <c r="B355" s="38" t="s">
        <v>48</v>
      </c>
      <c r="C355" s="38" t="s">
        <v>48</v>
      </c>
      <c r="D355" s="38" t="s">
        <v>48</v>
      </c>
      <c r="E355" s="38" t="s">
        <v>48</v>
      </c>
      <c r="F355" s="38" t="s">
        <v>48</v>
      </c>
      <c r="G355" s="38" t="s">
        <v>48</v>
      </c>
      <c r="H355" s="38" t="s">
        <v>48</v>
      </c>
      <c r="I355" s="38" t="s">
        <v>48</v>
      </c>
      <c r="J355" s="38" t="s">
        <v>48</v>
      </c>
      <c r="K355" s="38" t="s">
        <v>48</v>
      </c>
    </row>
    <row r="358" spans="1:14" ht="42" x14ac:dyDescent="0.15">
      <c r="L358" s="5" t="s">
        <v>5</v>
      </c>
      <c r="M358" s="6" t="s">
        <v>4</v>
      </c>
      <c r="N358" s="7">
        <f>SUM(N1:N356)</f>
      </c>
    </row>
  </sheetData>
  <mergeCells count="36">
    <mergeCell ref="B4:H4"/>
    <mergeCell ref="A3:K3"/>
    <mergeCell ref="A1:K1"/>
    <mergeCell ref="B5:H5"/>
    <mergeCell ref="B6:H6"/>
    <mergeCell ref="B7:H7"/>
    <mergeCell ref="B8:H8"/>
    <mergeCell ref="A13:K13"/>
    <mergeCell ref="B14:J14"/>
    <mergeCell ref="I10:J10"/>
    <mergeCell ref="B9:H9"/>
    <mergeCell ref="B15:J15"/>
    <mergeCell ref="B16:J16"/>
    <mergeCell ref="B17:J17"/>
    <mergeCell ref="B18:J18"/>
    <mergeCell ref="B19:J19"/>
    <mergeCell ref="B20:J20"/>
    <mergeCell ref="B21:J21"/>
    <mergeCell ref="B22:J22"/>
    <mergeCell ref="B23:J23"/>
    <mergeCell ref="B24:J24"/>
  </mergeCells>
  <phoneticPr fontId="1" type="noConversion"/>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heetViews>
  <sheetFormatPr baseColWidth="10" defaultColWidth="8.83203125" defaultRowHeight="13" x14ac:dyDescent="0.15"/>
  <cols>
    <col min="1" max="1" customWidth="true" style="1" width="21.33203125"/>
    <col min="2" max="2" customWidth="true" style="1" width="28.6640625"/>
    <col min="3" max="3" customWidth="true" style="1" width="7.1640625"/>
    <col min="4" max="4" customWidth="true" style="1" width="69.5"/>
    <col min="5" max="16384" style="1" width="8.83203125"/>
  </cols>
  <sheetData>
    <row r="1">
      <c r="A1" t="s" s="1">
        <v>50</v>
      </c>
      <c r="B1" t="s" s="1">
        <v>51</v>
      </c>
      <c r="C1" t="b" s="1">
        <v>1</v>
      </c>
      <c r="D1" t="s" s="1">
        <v>48</v>
      </c>
    </row>
    <row r="2">
      <c r="A2" t="s" s="1">
        <v>48</v>
      </c>
      <c r="B2" t="s" s="1">
        <v>115</v>
      </c>
      <c r="C2" t="b" s="1">
        <v>0</v>
      </c>
      <c r="D2" t="s" s="1">
        <v>116</v>
      </c>
    </row>
    <row r="3">
      <c r="A3" t="s" s="1">
        <v>48</v>
      </c>
      <c r="B3" t="s" s="1">
        <v>115</v>
      </c>
      <c r="C3" t="b" s="1">
        <v>0</v>
      </c>
      <c r="D3" t="s" s="1">
        <v>118</v>
      </c>
    </row>
    <row r="4">
      <c r="A4" t="s" s="1">
        <v>48</v>
      </c>
      <c r="B4" t="s" s="1">
        <v>115</v>
      </c>
      <c r="C4" t="b" s="1">
        <v>0</v>
      </c>
      <c r="D4" t="s" s="1">
        <v>120</v>
      </c>
    </row>
    <row r="5">
      <c r="A5" t="s" s="1">
        <v>48</v>
      </c>
      <c r="B5" t="s" s="1">
        <v>115</v>
      </c>
      <c r="C5" t="b" s="1">
        <v>0</v>
      </c>
      <c r="D5" t="s" s="1">
        <v>172</v>
      </c>
    </row>
    <row r="6">
      <c r="A6" t="s" s="1">
        <v>346</v>
      </c>
      <c r="B6" t="s" s="1">
        <v>347</v>
      </c>
      <c r="C6" t="b" s="1">
        <v>1</v>
      </c>
      <c r="D6" t="s" s="1">
        <v>348</v>
      </c>
    </row>
    <row r="7">
      <c r="A7" t="s" s="1">
        <v>48</v>
      </c>
      <c r="B7" t="s" s="1">
        <v>431</v>
      </c>
      <c r="C7" t="b" s="1">
        <v>0</v>
      </c>
      <c r="D7" t="s" s="1">
        <v>432</v>
      </c>
    </row>
    <row r="8">
      <c r="A8" t="s" s="1">
        <v>48</v>
      </c>
      <c r="B8" t="s" s="1">
        <v>431</v>
      </c>
      <c r="C8" t="b" s="1">
        <v>0</v>
      </c>
      <c r="D8" t="s" s="1">
        <v>435</v>
      </c>
    </row>
    <row r="9">
      <c r="A9" t="s" s="1">
        <v>451</v>
      </c>
      <c r="B9" t="s" s="1">
        <v>347</v>
      </c>
      <c r="C9" t="b" s="1">
        <v>1</v>
      </c>
      <c r="D9" t="s" s="1">
        <v>452</v>
      </c>
    </row>
    <row r="10">
      <c r="A10" t="s" s="1">
        <v>455</v>
      </c>
      <c r="B10" t="s" s="1">
        <v>347</v>
      </c>
      <c r="C10" t="b" s="1">
        <v>1</v>
      </c>
      <c r="D10" t="s" s="1">
        <v>456</v>
      </c>
    </row>
  </sheetData>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CIS Marking Scheme Import</vt:lpstr>
      <vt:lpstr>Calculations</vt:lpstr>
    </vt:vector>
  </TitlesOfParts>
  <Company>WorldSkills International Secretariat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2010-04-27T04:25:00Z</dcterms:created>
  <dc:creator>Adam Walsh</dc:creator>
  <cp:lastModifiedBy>Microsoft Office User</cp:lastModifiedBy>
  <cp:lastPrinted>2010-04-28T04:08:36Z</cp:lastPrinted>
  <dcterms:modified xsi:type="dcterms:W3CDTF">2022-03-24T02:45:09Z</dcterms:modified>
</cp:coreProperties>
</file>